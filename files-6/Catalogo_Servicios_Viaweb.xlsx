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Catálogo" sheetId="2" state="visible" r:id="rId2"/>
    <sheet name="Catálogo Clientum" sheetId="3" state="visible" r:id="rId3"/>
    <sheet name="Planes Clientum (SaaS)" sheetId="4" state="visible" r:id="rId4"/>
    <sheet name="Resumen por Categoría" sheetId="5" state="visible" r:id="rId5"/>
  </sheets>
  <definedNames>
    <definedName name="_xlnm._FilterDatabase" localSheetId="1" hidden="1">'Catálogo'!$A$1:$G$2148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\$#,##0.00"/>
    <numFmt numFmtId="166" formatCode="&quot;USD&quot; #,##0"/>
    <numFmt numFmtId="167" formatCode="&quot;$&quot; #,##0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0000FF"/>
      <sz val="11"/>
    </font>
    <font>
      <name val="Arial"/>
      <charset val="1"/>
      <family val="0"/>
      <i val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i val="1"/>
      <color rgb="FFB8860B"/>
      <sz val="10"/>
    </font>
    <font>
      <name val="Calibri"/>
      <b val="1"/>
      <color rgb="FFC8FF4D"/>
      <sz val="14"/>
    </font>
    <font>
      <name val="Calibri"/>
      <i val="1"/>
      <color rgb="FF7A7569"/>
      <sz val="9"/>
    </font>
    <font>
      <name val="Calibri"/>
      <b val="1"/>
      <color rgb="FFC8FF4D"/>
      <sz val="10"/>
    </font>
    <font>
      <name val="Calibri"/>
      <color rgb="FFF5F0E8"/>
      <sz val="10"/>
    </font>
    <font>
      <name val="Calibri"/>
      <color rgb="FF7A7569"/>
      <sz val="10"/>
    </font>
    <font>
      <name val="Calibri"/>
      <color rgb="FFD4CCBC"/>
      <sz val="10"/>
    </font>
    <font>
      <name val="Calibri"/>
      <color rgb="FF59E6D9"/>
      <sz val="10"/>
    </font>
    <font>
      <name val="Calibri"/>
      <color rgb="FFFFB454"/>
      <sz val="10"/>
    </font>
    <font>
      <name val="Calibri"/>
      <b val="1"/>
      <color rgb="FFF5F0E8"/>
      <sz val="10"/>
    </font>
    <font>
      <name val="Calibri"/>
      <b val="1"/>
      <color rgb="FFFFB454"/>
      <sz val="10"/>
    </font>
    <font>
      <name val="Calibri"/>
      <b val="1"/>
      <color rgb="FF59E6D9"/>
      <sz val="10"/>
    </font>
    <font>
      <name val="Calibri"/>
      <i val="1"/>
      <color rgb="FFFFB454"/>
      <sz val="9"/>
    </font>
  </fonts>
  <fills count="6">
    <fill>
      <patternFill/>
    </fill>
    <fill>
      <patternFill patternType="gray125"/>
    </fill>
    <fill>
      <patternFill patternType="solid">
        <fgColor rgb="FF10120F"/>
        <bgColor rgb="FF000000"/>
      </patternFill>
    </fill>
    <fill>
      <patternFill patternType="solid">
        <fgColor rgb="FF10120F"/>
      </patternFill>
    </fill>
    <fill>
      <patternFill patternType="solid">
        <fgColor rgb="FF1A1C18"/>
      </patternFill>
    </fill>
    <fill>
      <patternFill patternType="solid">
        <fgColor rgb="FF1E2A10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2E3028"/>
      </left>
      <right style="thin">
        <color rgb="FF2E3028"/>
      </right>
      <top style="thin">
        <color rgb="FF2E3028"/>
      </top>
      <bottom style="thin">
        <color rgb="FF2E3028"/>
      </bottom>
    </border>
    <border>
      <left style="thin">
        <color rgb="FF2E3028"/>
      </left>
      <right style="thin">
        <color rgb="FF2E3028"/>
      </right>
      <top style="thin">
        <color rgb="FF2E3028"/>
      </top>
      <bottom style="medium">
        <color rgb="FF8FB32A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 wrapText="1"/>
    </xf>
    <xf numFmtId="164" fontId="8" fillId="0" borderId="1" applyAlignment="1" pivotButton="0" quotePrefix="0" xfId="0">
      <alignment horizontal="general" vertical="center"/>
    </xf>
    <xf numFmtId="165" fontId="8" fillId="0" borderId="1" applyAlignment="1" pivotButton="0" quotePrefix="0" xfId="0">
      <alignment horizontal="general" vertical="center"/>
    </xf>
    <xf numFmtId="0" fontId="9" fillId="0" borderId="1" applyAlignment="1" pivotButton="0" quotePrefix="0" xfId="0">
      <alignment horizontal="general" vertical="center"/>
    </xf>
    <xf numFmtId="0" fontId="7" fillId="2" borderId="0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 wrapText="1"/>
    </xf>
    <xf numFmtId="164" fontId="8" fillId="0" borderId="1" applyAlignment="1" pivotButton="0" quotePrefix="0" xfId="0">
      <alignment horizontal="general" vertical="center"/>
    </xf>
    <xf numFmtId="165" fontId="8" fillId="0" borderId="1" applyAlignment="1" pivotButton="0" quotePrefix="0" xfId="0">
      <alignment horizontal="general" vertical="center"/>
    </xf>
    <xf numFmtId="0" fontId="9" fillId="0" borderId="1" applyAlignment="1" pivotButton="0" quotePrefix="0" xfId="0">
      <alignment horizontal="general" vertical="center"/>
    </xf>
    <xf numFmtId="0" fontId="10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left" vertical="center"/>
    </xf>
    <xf numFmtId="0" fontId="13" fillId="4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3" fontId="15" fillId="4" borderId="2" applyAlignment="1" pivotButton="0" quotePrefix="0" xfId="0">
      <alignment horizontal="right" vertical="center"/>
    </xf>
    <xf numFmtId="3" fontId="13" fillId="4" borderId="2" applyAlignment="1" pivotButton="0" quotePrefix="0" xfId="0">
      <alignment horizontal="right" vertical="center"/>
    </xf>
    <xf numFmtId="166" fontId="16" fillId="4" borderId="2" applyAlignment="1" pivotButton="0" quotePrefix="0" xfId="0">
      <alignment horizontal="right" vertical="center"/>
    </xf>
    <xf numFmtId="0" fontId="15" fillId="4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left" vertical="center"/>
    </xf>
    <xf numFmtId="0" fontId="12" fillId="5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center" vertical="center"/>
    </xf>
    <xf numFmtId="3" fontId="15" fillId="5" borderId="2" applyAlignment="1" pivotButton="0" quotePrefix="0" xfId="0">
      <alignment horizontal="right" vertical="center"/>
    </xf>
    <xf numFmtId="3" fontId="18" fillId="5" borderId="2" applyAlignment="1" pivotButton="0" quotePrefix="0" xfId="0">
      <alignment horizontal="right" vertical="center"/>
    </xf>
    <xf numFmtId="166" fontId="16" fillId="5" borderId="2" applyAlignment="1" pivotButton="0" quotePrefix="0" xfId="0">
      <alignment horizontal="right" vertical="center"/>
    </xf>
    <xf numFmtId="0" fontId="19" fillId="5" borderId="2" applyAlignment="1" pivotButton="0" quotePrefix="0" xfId="0">
      <alignment horizontal="center" vertical="center"/>
    </xf>
    <xf numFmtId="0" fontId="13" fillId="4" borderId="3" applyAlignment="1" pivotButton="0" quotePrefix="0" xfId="0">
      <alignment horizontal="left" vertical="center"/>
    </xf>
    <xf numFmtId="0" fontId="13" fillId="4" borderId="3" applyAlignment="1" pivotButton="0" quotePrefix="0" xfId="0">
      <alignment horizontal="center" vertical="center"/>
    </xf>
    <xf numFmtId="0" fontId="14" fillId="4" borderId="3" applyAlignment="1" pivotButton="0" quotePrefix="0" xfId="0">
      <alignment horizontal="center" vertical="center"/>
    </xf>
    <xf numFmtId="3" fontId="15" fillId="4" borderId="3" applyAlignment="1" pivotButton="0" quotePrefix="0" xfId="0">
      <alignment horizontal="right" vertical="center"/>
    </xf>
    <xf numFmtId="3" fontId="13" fillId="4" borderId="3" applyAlignment="1" pivotButton="0" quotePrefix="0" xfId="0">
      <alignment horizontal="right" vertical="center"/>
    </xf>
    <xf numFmtId="166" fontId="16" fillId="4" borderId="3" applyAlignment="1" pivotButton="0" quotePrefix="0" xfId="0">
      <alignment horizontal="right" vertical="center"/>
    </xf>
    <xf numFmtId="0" fontId="15" fillId="4" borderId="3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 wrapText="1"/>
    </xf>
    <xf numFmtId="0" fontId="19" fillId="4" borderId="2" applyAlignment="1" pivotButton="0" quotePrefix="0" xfId="0">
      <alignment horizontal="right" vertical="center"/>
    </xf>
    <xf numFmtId="0" fontId="14" fillId="4" borderId="2" applyAlignment="1" pivotButton="0" quotePrefix="0" xfId="0">
      <alignment horizontal="right" vertical="center"/>
    </xf>
    <xf numFmtId="0" fontId="15" fillId="4" borderId="2" applyAlignment="1" pivotButton="0" quotePrefix="0" xfId="0">
      <alignment horizontal="center" vertical="center" wrapText="1"/>
    </xf>
    <xf numFmtId="0" fontId="19" fillId="4" borderId="2" applyAlignment="1" pivotButton="0" quotePrefix="0" xfId="0">
      <alignment horizontal="center" vertical="center"/>
    </xf>
    <xf numFmtId="167" fontId="13" fillId="4" borderId="2" applyAlignment="1" pivotButton="0" quotePrefix="0" xfId="0">
      <alignment horizontal="right" vertical="center"/>
    </xf>
    <xf numFmtId="167" fontId="18" fillId="5" borderId="2" applyAlignment="1" pivotButton="0" quotePrefix="0" xfId="0">
      <alignment horizontal="right" vertical="center"/>
    </xf>
    <xf numFmtId="166" fontId="20" fillId="5" borderId="2" applyAlignment="1" pivotButton="0" quotePrefix="0" xfId="0">
      <alignment horizontal="right" vertical="center"/>
    </xf>
    <xf numFmtId="0" fontId="15" fillId="5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 wrapText="1"/>
    </xf>
    <xf numFmtId="0" fontId="20" fillId="4" borderId="2" applyAlignment="1" pivotButton="0" quotePrefix="0" xfId="0">
      <alignment horizontal="center" vertical="center"/>
    </xf>
    <xf numFmtId="0" fontId="21" fillId="3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bottom"/>
    </xf>
    <xf numFmtId="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0120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8860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0120F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8" min="1" max="1"/>
    <col width="70" customWidth="1" style="18" min="2" max="2"/>
  </cols>
  <sheetData>
    <row r="1" ht="15" customHeight="1" s="19">
      <c r="A1" s="20" t="inlineStr">
        <is>
          <t>Tipo de cambio USD/ARS</t>
        </is>
      </c>
      <c r="B1" s="21" t="n">
        <v>1510</v>
      </c>
    </row>
    <row r="2" ht="15" customHeight="1" s="19">
      <c r="A2" s="22" t="inlineStr">
        <is>
          <t>Fuente</t>
        </is>
      </c>
      <c r="B2" s="22" t="inlineStr">
        <is>
          <t>Dólar oficial BNA venta, referencia 9-jul-2026 (dolarhoy.com / BNA) — ACTUALIZAR MANUALMENTE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1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8" min="1" max="1"/>
    <col width="46" customWidth="1" style="18" min="2" max="2"/>
    <col width="24" customWidth="1" style="18" min="3" max="3"/>
    <col width="44" customWidth="1" style="18" min="4" max="4"/>
    <col width="14" customWidth="1" style="18" min="5" max="5"/>
    <col width="13" customWidth="1" style="18" min="6" max="6"/>
    <col width="26" customWidth="1" style="18" min="7" max="7"/>
  </cols>
  <sheetData>
    <row r="1" ht="15" customHeight="1" s="19">
      <c r="A1" s="23" t="inlineStr">
        <is>
          <t>ID</t>
        </is>
      </c>
      <c r="B1" s="23" t="inlineStr">
        <is>
          <t>Servicio</t>
        </is>
      </c>
      <c r="C1" s="23" t="inlineStr">
        <is>
          <t>Categoría</t>
        </is>
      </c>
      <c r="D1" s="23" t="inlineStr">
        <is>
          <t>Descripción breve</t>
        </is>
      </c>
      <c r="E1" s="23" t="inlineStr">
        <is>
          <t>Precio ARS</t>
        </is>
      </c>
      <c r="F1" s="23" t="inlineStr">
        <is>
          <t>Precio USD</t>
        </is>
      </c>
      <c r="G1" s="23" t="inlineStr">
        <is>
          <t>Fuente del precio</t>
        </is>
      </c>
    </row>
    <row r="2" ht="15" customHeight="1" s="19">
      <c r="A2" s="24" t="n">
        <v>6073</v>
      </c>
      <c r="B2" s="25" t="inlineStr">
        <is>
          <t>Aplicaciones Móviles</t>
        </is>
      </c>
      <c r="C2" s="24" t="inlineStr">
        <is>
          <t>Aplicaciones Móviles</t>
        </is>
      </c>
      <c r="D2" s="25" t="inlineStr">
        <is>
          <t>Desarrollo De Aplicaciones Móviles</t>
        </is>
      </c>
      <c r="E2" s="26" t="n">
        <v>6200</v>
      </c>
      <c r="F2" s="27">
        <f>E2/Config!$B$1</f>
        <v/>
      </c>
      <c r="G2" s="28" t="inlineStr">
        <is>
          <t>Estimado (mediana de categoría)</t>
        </is>
      </c>
    </row>
    <row r="3" ht="23.25" customHeight="1" s="19">
      <c r="A3" s="24" t="n">
        <v>6653</v>
      </c>
      <c r="B3" s="25" t="inlineStr">
        <is>
          <t>Aplicaciones Móviles para Ecommerce: Crea tu Tienda Online en tu Bolsillo</t>
        </is>
      </c>
      <c r="C3" s="24" t="inlineStr">
        <is>
          <t>Aplicaciones Móviles</t>
        </is>
      </c>
      <c r="D3" s="25" t="inlineStr">
        <is>
          <t>Aplicaciones móviles para e-commerce: la clave para impulsar tu negocio online</t>
        </is>
      </c>
      <c r="E3" s="26" t="n">
        <v>2000</v>
      </c>
      <c r="F3" s="27">
        <f>E3/Config!$B$1</f>
        <v/>
      </c>
      <c r="G3" s="24" t="inlineStr">
        <is>
          <t>Real</t>
        </is>
      </c>
    </row>
    <row r="4" ht="23.25" customHeight="1" s="19">
      <c r="A4" s="24" t="n">
        <v>8354</v>
      </c>
      <c r="B4" s="25" t="inlineStr">
        <is>
          <t>Aplicaciones móviles para e-commerce: Crea tu tienda online en tu bolsillo</t>
        </is>
      </c>
      <c r="C4" s="24" t="inlineStr">
        <is>
          <t>Aplicaciones Móviles</t>
        </is>
      </c>
      <c r="D4" s="25" t="inlineStr">
        <is>
          <t>Aplicaciones móviles para e-commerce: Crea tu tienda online en tu bolsillo</t>
        </is>
      </c>
      <c r="E4" s="26" t="n">
        <v>6200</v>
      </c>
      <c r="F4" s="27">
        <f>E4/Config!$B$1</f>
        <v/>
      </c>
      <c r="G4" s="28" t="inlineStr">
        <is>
          <t>Estimado (mediana de categoría)</t>
        </is>
      </c>
    </row>
    <row r="5" ht="23.25" customHeight="1" s="19">
      <c r="A5" s="24" t="n">
        <v>6461</v>
      </c>
      <c r="B5" s="25" t="inlineStr">
        <is>
          <t>Creación de apps móviles</t>
        </is>
      </c>
      <c r="C5" s="24" t="inlineStr">
        <is>
          <t>Aplicaciones Móviles</t>
        </is>
      </c>
      <c r="D5" s="25" t="inlineStr">
        <is>
          <t>Servicio De Creación De Aplicaciones Móviles A Medida.</t>
        </is>
      </c>
      <c r="E5" s="26" t="n">
        <v>3000</v>
      </c>
      <c r="F5" s="27">
        <f>E5/Config!$B$1</f>
        <v/>
      </c>
      <c r="G5" s="24" t="inlineStr">
        <is>
          <t>Real</t>
        </is>
      </c>
    </row>
    <row r="6" ht="23.25" customHeight="1" s="19">
      <c r="A6" s="24" t="n">
        <v>8172</v>
      </c>
      <c r="B6" s="25" t="inlineStr">
        <is>
          <t>Creación de apps móviles</t>
        </is>
      </c>
      <c r="C6" s="24" t="inlineStr">
        <is>
          <t>Aplicaciones Móviles</t>
        </is>
      </c>
      <c r="D6" s="25" t="inlineStr">
        <is>
          <t>Servicio De Creación De Aplicaciones Móviles A Medida.</t>
        </is>
      </c>
      <c r="E6" s="26" t="n">
        <v>6200</v>
      </c>
      <c r="F6" s="27">
        <f>E6/Config!$B$1</f>
        <v/>
      </c>
      <c r="G6" s="28" t="inlineStr">
        <is>
          <t>Estimado (mediana de categoría)</t>
        </is>
      </c>
    </row>
    <row r="7" ht="15" customHeight="1" s="19">
      <c r="A7" s="24" t="n">
        <v>7581</v>
      </c>
      <c r="B7" s="25" t="inlineStr">
        <is>
          <t>Desarrollo a medida de aplicaciones móviles</t>
        </is>
      </c>
      <c r="C7" s="24" t="inlineStr">
        <is>
          <t>Aplicaciones Móviles</t>
        </is>
      </c>
      <c r="D7" s="25" t="inlineStr">
        <is>
          <t>Desarrollo De Apps Móviles</t>
        </is>
      </c>
      <c r="E7" s="26" t="n">
        <v>1080</v>
      </c>
      <c r="F7" s="27">
        <f>E7/Config!$B$1</f>
        <v/>
      </c>
      <c r="G7" s="24" t="inlineStr">
        <is>
          <t>Real</t>
        </is>
      </c>
    </row>
    <row r="8" ht="15" customHeight="1" s="19">
      <c r="A8" s="24" t="n">
        <v>6157</v>
      </c>
      <c r="B8" s="25" t="inlineStr">
        <is>
          <t>Desarrollo de Aplicaciones Móviles Intuitivas</t>
        </is>
      </c>
      <c r="C8" s="24" t="inlineStr">
        <is>
          <t>Aplicaciones Móviles</t>
        </is>
      </c>
      <c r="D8" s="25" t="inlineStr">
        <is>
          <t>Desarrollo De Aplicaciones Móviles</t>
        </is>
      </c>
      <c r="E8" s="26" t="n">
        <v>9500</v>
      </c>
      <c r="F8" s="27">
        <f>E8/Config!$B$1</f>
        <v/>
      </c>
      <c r="G8" s="24" t="inlineStr">
        <is>
          <t>Real</t>
        </is>
      </c>
    </row>
    <row r="9" ht="15" customHeight="1" s="19">
      <c r="A9" s="24" t="n">
        <v>7881</v>
      </c>
      <c r="B9" s="25" t="inlineStr">
        <is>
          <t>Desarrollo de Aplicaciones Móviles Intuitivas</t>
        </is>
      </c>
      <c r="C9" s="24" t="inlineStr">
        <is>
          <t>Aplicaciones Móviles</t>
        </is>
      </c>
      <c r="D9" s="25" t="inlineStr">
        <is>
          <t>Desarrollo De Aplicaciones Móviles</t>
        </is>
      </c>
      <c r="E9" s="26" t="n">
        <v>6200</v>
      </c>
      <c r="F9" s="27">
        <f>E9/Config!$B$1</f>
        <v/>
      </c>
      <c r="G9" s="28" t="inlineStr">
        <is>
          <t>Estimado (mediana de categoría)</t>
        </is>
      </c>
    </row>
    <row r="10" ht="34.5" customHeight="1" s="19">
      <c r="A10" s="24" t="n">
        <v>6590</v>
      </c>
      <c r="B10" s="25" t="inlineStr">
        <is>
          <t>Desarrollo de Aplicaciones Móviles Nativas para Ecommerce: Mejora la Experiencia de Compra y Fideliza Clientes</t>
        </is>
      </c>
      <c r="C10" s="24" t="inlineStr">
        <is>
          <t>Aplicaciones Móviles</t>
        </is>
      </c>
      <c r="D10" s="25" t="inlineStr">
        <is>
          <t>Servicio de Desarrollo de Aplicación Móvil Nativa Para Ecommerce</t>
        </is>
      </c>
      <c r="E10" s="26" t="n">
        <v>12000</v>
      </c>
      <c r="F10" s="27">
        <f>E10/Config!$B$1</f>
        <v/>
      </c>
      <c r="G10" s="24" t="inlineStr">
        <is>
          <t>Real</t>
        </is>
      </c>
    </row>
    <row r="11" ht="23.25" customHeight="1" s="19">
      <c r="A11" s="24" t="n">
        <v>5937</v>
      </c>
      <c r="B11" s="25" t="inlineStr">
        <is>
          <t>Desarrollo de Aplicaciones Móviles Nativas y Multiplataforma</t>
        </is>
      </c>
      <c r="C11" s="24" t="inlineStr">
        <is>
          <t>Aplicaciones Móviles</t>
        </is>
      </c>
      <c r="D11" s="25" t="inlineStr">
        <is>
          <t>Desarrollo De Apps Móviles</t>
        </is>
      </c>
      <c r="E11" s="26" t="n">
        <v>7000</v>
      </c>
      <c r="F11" s="27">
        <f>E11/Config!$B$1</f>
        <v/>
      </c>
      <c r="G11" s="24" t="inlineStr">
        <is>
          <t>Real</t>
        </is>
      </c>
    </row>
    <row r="12" ht="23.25" customHeight="1" s="19">
      <c r="A12" s="24" t="n">
        <v>7719</v>
      </c>
      <c r="B12" s="25" t="inlineStr">
        <is>
          <t>Desarrollo de Aplicaciones Móviles Nativas y Multiplataforma</t>
        </is>
      </c>
      <c r="C12" s="24" t="inlineStr">
        <is>
          <t>Aplicaciones Móviles</t>
        </is>
      </c>
      <c r="D12" s="25" t="inlineStr">
        <is>
          <t>Desarrollo De Apps Móviles</t>
        </is>
      </c>
      <c r="E12" s="26" t="n">
        <v>6200</v>
      </c>
      <c r="F12" s="27">
        <f>E12/Config!$B$1</f>
        <v/>
      </c>
      <c r="G12" s="28" t="inlineStr">
        <is>
          <t>Estimado (mediana de categoría)</t>
        </is>
      </c>
    </row>
    <row r="13" ht="23.25" customHeight="1" s="19">
      <c r="A13" s="24" t="n">
        <v>6677</v>
      </c>
      <c r="B13" s="25" t="inlineStr">
        <is>
          <t>Desarrollo de Aplicaciones Móviles para Ecommerce: Optimiza tu Tienda Virtual para Dispositivos Móviles</t>
        </is>
      </c>
      <c r="C13" s="24" t="inlineStr">
        <is>
          <t>Aplicaciones Móviles</t>
        </is>
      </c>
      <c r="D13" s="25" t="inlineStr">
        <is>
          <t>Servicios de Desarrollo de App Móvil para Ecommerce</t>
        </is>
      </c>
      <c r="E13" s="26" t="n">
        <v>3000</v>
      </c>
      <c r="F13" s="27">
        <f>E13/Config!$B$1</f>
        <v/>
      </c>
      <c r="G13" s="24" t="inlineStr">
        <is>
          <t>Real</t>
        </is>
      </c>
    </row>
    <row r="14" ht="23.25" customHeight="1" s="19">
      <c r="A14" s="24" t="n">
        <v>8378</v>
      </c>
      <c r="B14" s="25" t="inlineStr">
        <is>
          <t>Desarrollo de Aplicaciones Móviles para Ecommerce: Optimiza tu Tienda Virtual para Dispositivos Móviles</t>
        </is>
      </c>
      <c r="C14" s="24" t="inlineStr">
        <is>
          <t>Aplicaciones Móviles</t>
        </is>
      </c>
      <c r="D14" s="25" t="inlineStr">
        <is>
          <t>Desarrollo de Aplicaciones Móviles para Ecommerce: Optimiza tu Tienda Virtual para Dispositivos Móviles</t>
        </is>
      </c>
      <c r="E14" s="26" t="n">
        <v>6200</v>
      </c>
      <c r="F14" s="27">
        <f>E14/Config!$B$1</f>
        <v/>
      </c>
      <c r="G14" s="28" t="inlineStr">
        <is>
          <t>Estimado (mediana de categoría)</t>
        </is>
      </c>
    </row>
    <row r="15" ht="15" customHeight="1" s="19">
      <c r="A15" s="24" t="n">
        <v>6115</v>
      </c>
      <c r="B15" s="25" t="inlineStr">
        <is>
          <t>Desarrollo de Apps Móviles</t>
        </is>
      </c>
      <c r="C15" s="24" t="inlineStr">
        <is>
          <t>Aplicaciones Móviles</t>
        </is>
      </c>
      <c r="D15" s="25" t="inlineStr">
        <is>
          <t>Desarrollo De Aplicaciones Móviles</t>
        </is>
      </c>
      <c r="E15" s="26" t="n">
        <v>7500</v>
      </c>
      <c r="F15" s="27">
        <f>E15/Config!$B$1</f>
        <v/>
      </c>
      <c r="G15" s="24" t="inlineStr">
        <is>
          <t>Real</t>
        </is>
      </c>
    </row>
    <row r="16" ht="15" customHeight="1" s="19">
      <c r="A16" s="24" t="n">
        <v>7839</v>
      </c>
      <c r="B16" s="25" t="inlineStr">
        <is>
          <t>Desarrollo de Apps Móviles</t>
        </is>
      </c>
      <c r="C16" s="24" t="inlineStr">
        <is>
          <t>Aplicaciones Móviles</t>
        </is>
      </c>
      <c r="D16" s="25" t="inlineStr">
        <is>
          <t>Desarrollo De Aplicaciones Móviles</t>
        </is>
      </c>
      <c r="E16" s="26" t="n">
        <v>6200</v>
      </c>
      <c r="F16" s="27">
        <f>E16/Config!$B$1</f>
        <v/>
      </c>
      <c r="G16" s="28" t="inlineStr">
        <is>
          <t>Estimado (mediana de categoría)</t>
        </is>
      </c>
    </row>
    <row r="17" ht="34.5" customHeight="1" s="19">
      <c r="A17" s="24" t="n">
        <v>8292</v>
      </c>
      <c r="B17" s="25" t="inlineStr">
        <is>
          <t>Desarrollo de Apps Móviles Nativas para E-commerce: Mejora la Experiencia de Compra y Fideliza Clientes</t>
        </is>
      </c>
      <c r="C17" s="24" t="inlineStr">
        <is>
          <t>Aplicaciones Móviles</t>
        </is>
      </c>
      <c r="D17" s="25" t="inlineStr">
        <is>
          <t>Servicio de Desarrollo de Aplicaciones Móviles Nativas para Ecommerce: Mejora la experiencia de compra y fideliza clientes.</t>
        </is>
      </c>
      <c r="E17" s="26" t="n">
        <v>6200</v>
      </c>
      <c r="F17" s="27">
        <f>E17/Config!$B$1</f>
        <v/>
      </c>
      <c r="G17" s="28" t="inlineStr">
        <is>
          <t>Estimado (mediana de categoría)</t>
        </is>
      </c>
    </row>
    <row r="18" ht="34.5" customHeight="1" s="19">
      <c r="A18" s="24" t="n">
        <v>5967</v>
      </c>
      <c r="B18" s="25" t="inlineStr">
        <is>
          <t>Desarrollo de Apps Móviles con Realidad Aumentada y Virtual: ¡Experiencias Inmersivas en tus Manos!</t>
        </is>
      </c>
      <c r="C18" s="24" t="inlineStr">
        <is>
          <t>Aplicaciones Móviles</t>
        </is>
      </c>
      <c r="D18" s="25" t="inlineStr">
        <is>
          <t>Desarrollo de Apps Móviles con Realidad Aumentada y Virtual: ¡Experiencias Inmersivas al Alcance de tu Mano!</t>
        </is>
      </c>
      <c r="E18" s="26" t="n">
        <v>6200</v>
      </c>
      <c r="F18" s="27">
        <f>E18/Config!$B$1</f>
        <v/>
      </c>
      <c r="G18" s="28" t="inlineStr">
        <is>
          <t>Estimado (mediana de categoría)</t>
        </is>
      </c>
    </row>
    <row r="19" ht="68.25" customHeight="1" s="19">
      <c r="A19" s="24" t="n">
        <v>8262</v>
      </c>
      <c r="B19" s="25" t="inlineStr">
        <is>
          <t>Desarrollo de Apps Móviles para E-commerce: Diseño, Integración y Publicación para Impulsar tu Negocio</t>
        </is>
      </c>
      <c r="C19" s="24" t="inlineStr">
        <is>
          <t>Aplicaciones Móviles</t>
        </is>
      </c>
      <c r="D19" s="25" t="inlineStr">
        <is>
          <t>Desarrollo de Apps Móviles para E-commerce: Diseño, Implementación y Publicación. Servicio integral para impulsar tu negocio online con una app móvil centrada en el usuario, integrada perfectamente, con funcionalidades avanzadas y optimizada para dispositivos móviles.</t>
        </is>
      </c>
      <c r="E19" s="26" t="n">
        <v>6200</v>
      </c>
      <c r="F19" s="27">
        <f>E19/Config!$B$1</f>
        <v/>
      </c>
      <c r="G19" s="28" t="inlineStr">
        <is>
          <t>Estimado (mediana de categoría)</t>
        </is>
      </c>
    </row>
    <row r="20" ht="34.5" customHeight="1" s="19">
      <c r="A20" s="24" t="n">
        <v>8405</v>
      </c>
      <c r="B20" s="25" t="inlineStr">
        <is>
          <t>Desarrollo de Apps Móviles para E-commerce: Experiencia de Compra Optimizada y Funcionalidades Avanzadas</t>
        </is>
      </c>
      <c r="C20" s="24" t="inlineStr">
        <is>
          <t>Aplicaciones Móviles</t>
        </is>
      </c>
      <c r="D20" s="25" t="inlineStr">
        <is>
          <t>Desarrollo de Apps Móviles para Ecommerce: Experiencia de Compra Optimizada y Funcionalidades Avanzadas</t>
        </is>
      </c>
      <c r="E20" s="26" t="n">
        <v>6200</v>
      </c>
      <c r="F20" s="27">
        <f>E20/Config!$B$1</f>
        <v/>
      </c>
      <c r="G20" s="28" t="inlineStr">
        <is>
          <t>Estimado (mediana de categoría)</t>
        </is>
      </c>
    </row>
    <row r="21" ht="68.25" customHeight="1" s="19">
      <c r="A21" s="24" t="n">
        <v>6560</v>
      </c>
      <c r="B21" s="25" t="inlineStr">
        <is>
          <t>Desarrollo de Apps Móviles para Ecommerce: Diseño, Implementación y Publicación</t>
        </is>
      </c>
      <c r="C21" s="24" t="inlineStr">
        <is>
          <t>Aplicaciones Móviles</t>
        </is>
      </c>
      <c r="D21" s="25" t="inlineStr">
        <is>
          <t>Servicio de Desarrollo de Aplicaciones Móviles para E-commerce: Diseño centrado en el usuario, integración perfecta, funcionalidades avanzadas, optimización para dispositivos móviles. Mayor alcance, experiencia de compra mejorada, aumento de conversiones, fidelización del cliente.</t>
        </is>
      </c>
      <c r="E21" s="26" t="n">
        <v>12000</v>
      </c>
      <c r="F21" s="27">
        <f>E21/Config!$B$1</f>
        <v/>
      </c>
      <c r="G21" s="24" t="inlineStr">
        <is>
          <t>Real</t>
        </is>
      </c>
    </row>
    <row r="22" ht="23.25" customHeight="1" s="19">
      <c r="A22" s="24" t="n">
        <v>6667</v>
      </c>
      <c r="B22" s="25" t="inlineStr">
        <is>
          <t>Desarrollo de Apps Móviles para Ecommerce: Optimiza la Experiencia de Compra en Dispositivos Móviles</t>
        </is>
      </c>
      <c r="C22" s="24" t="inlineStr">
        <is>
          <t>Aplicaciones Móviles</t>
        </is>
      </c>
      <c r="D22" s="25" t="inlineStr">
        <is>
          <t>Desarrollo de Apps Móviles para Ecommerce: Impulsa tu Negocio Online</t>
        </is>
      </c>
      <c r="E22" s="26" t="n">
        <v>2000</v>
      </c>
      <c r="F22" s="27">
        <f>E22/Config!$B$1</f>
        <v/>
      </c>
      <c r="G22" s="24" t="inlineStr">
        <is>
          <t>Real</t>
        </is>
      </c>
    </row>
    <row r="23" ht="34.5" customHeight="1" s="19">
      <c r="A23" s="24" t="n">
        <v>8368</v>
      </c>
      <c r="B23" s="25" t="inlineStr">
        <is>
          <t>Desarrollo de Apps Móviles para Ecommerce: Optimiza la Experiencia de Compra en Dispositivos Móviles</t>
        </is>
      </c>
      <c r="C23" s="24" t="inlineStr">
        <is>
          <t>Aplicaciones Móviles</t>
        </is>
      </c>
      <c r="D23" s="25" t="inlineStr">
        <is>
          <t>Desarrollo de Apps Móviles para Ecommerce: Optimiza la Experiencia de Compra en Dispositivos Móviles</t>
        </is>
      </c>
      <c r="E23" s="26" t="n">
        <v>6200</v>
      </c>
      <c r="F23" s="27">
        <f>E23/Config!$B$1</f>
        <v/>
      </c>
      <c r="G23" s="28" t="inlineStr">
        <is>
          <t>Estimado (mediana de categoría)</t>
        </is>
      </c>
    </row>
    <row r="24" ht="15" customHeight="1" s="19">
      <c r="A24" s="24" t="n">
        <v>5918</v>
      </c>
      <c r="B24" s="25" t="inlineStr">
        <is>
          <t>Desarrollo de aplicaciones móviles</t>
        </is>
      </c>
      <c r="C24" s="24" t="inlineStr">
        <is>
          <t>Aplicaciones Móviles</t>
        </is>
      </c>
      <c r="D24" s="25" t="inlineStr">
        <is>
          <t>Desarrollo De Aplicaciones Móviles</t>
        </is>
      </c>
      <c r="E24" s="26" t="n">
        <v>7500</v>
      </c>
      <c r="F24" s="27">
        <f>E24/Config!$B$1</f>
        <v/>
      </c>
      <c r="G24" s="24" t="inlineStr">
        <is>
          <t>Real</t>
        </is>
      </c>
    </row>
    <row r="25" ht="15" customHeight="1" s="19">
      <c r="A25" s="24" t="n">
        <v>7700</v>
      </c>
      <c r="B25" s="25" t="inlineStr">
        <is>
          <t>Desarrollo de aplicaciones móviles</t>
        </is>
      </c>
      <c r="C25" s="24" t="inlineStr">
        <is>
          <t>Aplicaciones Móviles</t>
        </is>
      </c>
      <c r="D25" s="25" t="inlineStr">
        <is>
          <t>Desarrollo De Aplicaciones Móviles</t>
        </is>
      </c>
      <c r="E25" s="26" t="n">
        <v>6200</v>
      </c>
      <c r="F25" s="27">
        <f>E25/Config!$B$1</f>
        <v/>
      </c>
      <c r="G25" s="28" t="inlineStr">
        <is>
          <t>Estimado (mediana de categoría)</t>
        </is>
      </c>
    </row>
    <row r="26" ht="23.25" customHeight="1" s="19">
      <c r="A26" s="24" t="n">
        <v>6083</v>
      </c>
      <c r="B26" s="25" t="inlineStr">
        <is>
          <t>Desarrollo de aplicaciones móviles nativas</t>
        </is>
      </c>
      <c r="C26" s="24" t="inlineStr">
        <is>
          <t>Aplicaciones Móviles</t>
        </is>
      </c>
      <c r="D26" s="25" t="inlineStr">
        <is>
          <t>Desarrollo De Aplicaciones Móviles Nativas Con Realidad Aumentada.</t>
        </is>
      </c>
      <c r="E26" s="26" t="n">
        <v>5500</v>
      </c>
      <c r="F26" s="27">
        <f>E26/Config!$B$1</f>
        <v/>
      </c>
      <c r="G26" s="24" t="inlineStr">
        <is>
          <t>Real</t>
        </is>
      </c>
    </row>
    <row r="27" ht="23.25" customHeight="1" s="19">
      <c r="A27" s="24" t="n">
        <v>7807</v>
      </c>
      <c r="B27" s="25" t="inlineStr">
        <is>
          <t>Desarrollo de aplicaciones móviles nativas</t>
        </is>
      </c>
      <c r="C27" s="24" t="inlineStr">
        <is>
          <t>Aplicaciones Móviles</t>
        </is>
      </c>
      <c r="D27" s="25" t="inlineStr">
        <is>
          <t>Desarrollo De Aplicaciones Móviles Nativas Con Realidad Aumentada.</t>
        </is>
      </c>
      <c r="E27" s="26" t="n">
        <v>6200</v>
      </c>
      <c r="F27" s="27">
        <f>E27/Config!$B$1</f>
        <v/>
      </c>
      <c r="G27" s="28" t="inlineStr">
        <is>
          <t>Estimado (mediana de categoría)</t>
        </is>
      </c>
    </row>
    <row r="28" ht="15" customHeight="1" s="19">
      <c r="A28" s="24" t="n">
        <v>6494</v>
      </c>
      <c r="B28" s="25" t="inlineStr">
        <is>
          <t>Desarrollo de aplicación móvil</t>
        </is>
      </c>
      <c r="C28" s="24" t="inlineStr">
        <is>
          <t>Aplicaciones Móviles</t>
        </is>
      </c>
      <c r="D28" s="25" t="inlineStr">
        <is>
          <t>Creación De Aplicaciones Móviles Personalizadas.</t>
        </is>
      </c>
      <c r="E28" s="26" t="n">
        <v>3500</v>
      </c>
      <c r="F28" s="27">
        <f>E28/Config!$B$1</f>
        <v/>
      </c>
      <c r="G28" s="24" t="inlineStr">
        <is>
          <t>Real</t>
        </is>
      </c>
    </row>
    <row r="29" ht="15" customHeight="1" s="19">
      <c r="A29" s="24" t="n">
        <v>8196</v>
      </c>
      <c r="B29" s="25" t="inlineStr">
        <is>
          <t>Desarrollo de aplicación móvil</t>
        </is>
      </c>
      <c r="C29" s="24" t="inlineStr">
        <is>
          <t>Aplicaciones Móviles</t>
        </is>
      </c>
      <c r="D29" s="25" t="inlineStr">
        <is>
          <t>Creación De Aplicaciones Móviles Personalizadas.</t>
        </is>
      </c>
      <c r="E29" s="26" t="n">
        <v>6200</v>
      </c>
      <c r="F29" s="27">
        <f>E29/Config!$B$1</f>
        <v/>
      </c>
      <c r="G29" s="28" t="inlineStr">
        <is>
          <t>Estimado (mediana de categoría)</t>
        </is>
      </c>
    </row>
    <row r="30" ht="23.25" customHeight="1" s="19">
      <c r="A30" s="24" t="n">
        <v>6509</v>
      </c>
      <c r="B30" s="25" t="inlineStr">
        <is>
          <t>Desarrollo de app móvil</t>
        </is>
      </c>
      <c r="C30" s="24" t="inlineStr">
        <is>
          <t>Aplicaciones Móviles</t>
        </is>
      </c>
      <c r="D30" s="25" t="inlineStr">
        <is>
          <t>Creación De Aplicaciones Móviles Para Brindar A Los Usuarios Una Experiencia De Marca Integral.</t>
        </is>
      </c>
      <c r="E30" s="26" t="n">
        <v>4000</v>
      </c>
      <c r="F30" s="27">
        <f>E30/Config!$B$1</f>
        <v/>
      </c>
      <c r="G30" s="24" t="inlineStr">
        <is>
          <t>Real</t>
        </is>
      </c>
    </row>
    <row r="31" ht="23.25" customHeight="1" s="19">
      <c r="A31" s="24" t="n">
        <v>8211</v>
      </c>
      <c r="B31" s="25" t="inlineStr">
        <is>
          <t>Desarrollo de app móvil</t>
        </is>
      </c>
      <c r="C31" s="24" t="inlineStr">
        <is>
          <t>Aplicaciones Móviles</t>
        </is>
      </c>
      <c r="D31" s="25" t="inlineStr">
        <is>
          <t>Creación De Aplicaciones Móviles Para Brindar A Los Usuarios Una Experiencia De Marca Integral.</t>
        </is>
      </c>
      <c r="E31" s="26" t="n">
        <v>6200</v>
      </c>
      <c r="F31" s="27">
        <f>E31/Config!$B$1</f>
        <v/>
      </c>
      <c r="G31" s="28" t="inlineStr">
        <is>
          <t>Estimado (mediana de categoría)</t>
        </is>
      </c>
    </row>
    <row r="32" ht="15" customHeight="1" s="19">
      <c r="A32" s="24" t="n">
        <v>6854</v>
      </c>
      <c r="B32" s="25" t="inlineStr">
        <is>
          <t>Diseño avanzado de aplicación móvil</t>
        </is>
      </c>
      <c r="C32" s="24" t="inlineStr">
        <is>
          <t>Aplicaciones Móviles</t>
        </is>
      </c>
      <c r="D32" s="25" t="n"/>
      <c r="E32" s="26" t="n">
        <v>1</v>
      </c>
      <c r="F32" s="27">
        <f>E32/Config!$B$1</f>
        <v/>
      </c>
      <c r="G32" s="24" t="inlineStr">
        <is>
          <t>Real</t>
        </is>
      </c>
    </row>
    <row r="33" ht="23.25" customHeight="1" s="19">
      <c r="A33" s="24" t="n">
        <v>6579</v>
      </c>
      <c r="B33" s="25" t="inlineStr">
        <is>
          <t>Diseño y Desarrollo de Apps Móviles para Ecommerce: Optimiza tu Tienda Online</t>
        </is>
      </c>
      <c r="C33" s="24" t="inlineStr">
        <is>
          <t>Aplicaciones Móviles</t>
        </is>
      </c>
      <c r="D33" s="25" t="inlineStr">
        <is>
          <t>Servicio de Diseño y Desarrollo de Aplicaciones Móviles para Ecommerce</t>
        </is>
      </c>
      <c r="E33" s="26" t="n">
        <v>8000</v>
      </c>
      <c r="F33" s="27">
        <f>E33/Config!$B$1</f>
        <v/>
      </c>
      <c r="G33" s="24" t="inlineStr">
        <is>
          <t>Real</t>
        </is>
      </c>
    </row>
    <row r="34" ht="23.25" customHeight="1" s="19">
      <c r="A34" s="24" t="n">
        <v>8281</v>
      </c>
      <c r="B34" s="25" t="inlineStr">
        <is>
          <t>Diseño y Desarrollo de Apps Móviles para Ecommerce: Optimizá tu Tienda Online</t>
        </is>
      </c>
      <c r="C34" s="24" t="inlineStr">
        <is>
          <t>Aplicaciones Móviles</t>
        </is>
      </c>
      <c r="D34" s="25" t="inlineStr">
        <is>
          <t>Diseño y Desarrollo de Apps Móviles para Ecommerce: Optimiza tu Tienda Online</t>
        </is>
      </c>
      <c r="E34" s="26" t="n">
        <v>6200</v>
      </c>
      <c r="F34" s="27">
        <f>E34/Config!$B$1</f>
        <v/>
      </c>
      <c r="G34" s="28" t="inlineStr">
        <is>
          <t>Estimado (mediana de categoría)</t>
        </is>
      </c>
    </row>
    <row r="35" ht="15" customHeight="1" s="19">
      <c r="A35" s="24" t="n">
        <v>5868</v>
      </c>
      <c r="B35" s="25" t="inlineStr">
        <is>
          <t>Servicios de Desarrollo de Aplicaciones Móviles</t>
        </is>
      </c>
      <c r="C35" s="24" t="inlineStr">
        <is>
          <t>Aplicaciones Móviles</t>
        </is>
      </c>
      <c r="D35" s="25" t="inlineStr">
        <is>
          <t>Desarrollo De Apps Móviles</t>
        </is>
      </c>
      <c r="E35" s="26" t="n">
        <v>8000</v>
      </c>
      <c r="F35" s="27">
        <f>E35/Config!$B$1</f>
        <v/>
      </c>
      <c r="G35" s="24" t="inlineStr">
        <is>
          <t>Real</t>
        </is>
      </c>
    </row>
    <row r="36" ht="15" customHeight="1" s="19">
      <c r="A36" s="24" t="n">
        <v>7650</v>
      </c>
      <c r="B36" s="25" t="inlineStr">
        <is>
          <t>Servicios de Desarrollo de Aplicaciones Móviles</t>
        </is>
      </c>
      <c r="C36" s="24" t="inlineStr">
        <is>
          <t>Aplicaciones Móviles</t>
        </is>
      </c>
      <c r="D36" s="25" t="inlineStr">
        <is>
          <t>Desarrollo De Apps Móviles</t>
        </is>
      </c>
      <c r="E36" s="26" t="n">
        <v>6200</v>
      </c>
      <c r="F36" s="27">
        <f>E36/Config!$B$1</f>
        <v/>
      </c>
      <c r="G36" s="28" t="inlineStr">
        <is>
          <t>Estimado (mediana de categoría)</t>
        </is>
      </c>
    </row>
    <row r="37" ht="23.25" customHeight="1" s="19">
      <c r="A37" s="24" t="n">
        <v>6704</v>
      </c>
      <c r="B37" s="25" t="inlineStr">
        <is>
          <t>Servicios de Desarrollo de Aplicaciones Móviles Ecommerce</t>
        </is>
      </c>
      <c r="C37" s="24" t="inlineStr">
        <is>
          <t>Aplicaciones Móviles</t>
        </is>
      </c>
      <c r="D37" s="25" t="inlineStr">
        <is>
          <t>Desarrollo De Aplicaciones Móviles Para Ecommerce.</t>
        </is>
      </c>
      <c r="E37" s="26" t="n">
        <v>10000</v>
      </c>
      <c r="F37" s="27">
        <f>E37/Config!$B$1</f>
        <v/>
      </c>
      <c r="G37" s="24" t="inlineStr">
        <is>
          <t>Real</t>
        </is>
      </c>
    </row>
    <row r="38" ht="15" customHeight="1" s="19">
      <c r="A38" s="24" t="n">
        <v>6041</v>
      </c>
      <c r="B38" s="25" t="inlineStr">
        <is>
          <t>Servicios de Desarrollo de Aplicaciones Móviles Nativas</t>
        </is>
      </c>
      <c r="C38" s="24" t="inlineStr">
        <is>
          <t>Aplicaciones Móviles</t>
        </is>
      </c>
      <c r="D38" s="25" t="inlineStr">
        <is>
          <t>Aplicaciones Móviles Con Ar Y Vr</t>
        </is>
      </c>
      <c r="E38" s="26" t="n">
        <v>13500</v>
      </c>
      <c r="F38" s="27">
        <f>E38/Config!$B$1</f>
        <v/>
      </c>
      <c r="G38" s="24" t="inlineStr">
        <is>
          <t>Real</t>
        </is>
      </c>
    </row>
    <row r="39" ht="15" customHeight="1" s="19">
      <c r="A39" s="24" t="n">
        <v>7787</v>
      </c>
      <c r="B39" s="25" t="inlineStr">
        <is>
          <t>Servicios de Desarrollo de Aplicaciones Móviles Nativas</t>
        </is>
      </c>
      <c r="C39" s="24" t="inlineStr">
        <is>
          <t>Aplicaciones Móviles</t>
        </is>
      </c>
      <c r="D39" s="25" t="inlineStr">
        <is>
          <t>Aplicaciones Móviles Con Ar Y Vr</t>
        </is>
      </c>
      <c r="E39" s="26" t="n">
        <v>6200</v>
      </c>
      <c r="F39" s="27">
        <f>E39/Config!$B$1</f>
        <v/>
      </c>
      <c r="G39" s="28" t="inlineStr">
        <is>
          <t>Estimado (mediana de categoría)</t>
        </is>
      </c>
    </row>
    <row r="40" ht="23.25" customHeight="1" s="19">
      <c r="A40" s="24" t="n">
        <v>6012</v>
      </c>
      <c r="B40" s="25" t="inlineStr">
        <is>
          <t>Servicios de Desarrollo de Aplicaciones Móviles Nativas con Integración de Realidad Aumentada</t>
        </is>
      </c>
      <c r="C40" s="24" t="inlineStr">
        <is>
          <t>Aplicaciones Móviles</t>
        </is>
      </c>
      <c r="D40" s="25" t="inlineStr">
        <is>
          <t>Desarrollo De Aplicaciones</t>
        </is>
      </c>
      <c r="E40" s="26" t="n">
        <v>6200</v>
      </c>
      <c r="F40" s="27">
        <f>E40/Config!$B$1</f>
        <v/>
      </c>
      <c r="G40" s="28" t="inlineStr">
        <is>
          <t>Estimado (mediana de categoría)</t>
        </is>
      </c>
    </row>
    <row r="41" ht="23.25" customHeight="1" s="19">
      <c r="A41" s="24" t="n">
        <v>7775</v>
      </c>
      <c r="B41" s="25" t="inlineStr">
        <is>
          <t>Servicios de Desarrollo de Aplicaciones Móviles Nativas con Integración de Realidad Aumentada</t>
        </is>
      </c>
      <c r="C41" s="24" t="inlineStr">
        <is>
          <t>Aplicaciones Móviles</t>
        </is>
      </c>
      <c r="D41" s="25" t="inlineStr">
        <is>
          <t>Desarrollo De Aplicaciones</t>
        </is>
      </c>
      <c r="E41" s="26" t="n">
        <v>6200</v>
      </c>
      <c r="F41" s="27">
        <f>E41/Config!$B$1</f>
        <v/>
      </c>
      <c r="G41" s="28" t="inlineStr">
        <is>
          <t>Estimado (mediana de categoría)</t>
        </is>
      </c>
    </row>
    <row r="42" ht="23.25" customHeight="1" s="19">
      <c r="A42" s="24" t="n">
        <v>5972</v>
      </c>
      <c r="B42" s="25" t="inlineStr">
        <is>
          <t>Servicios de desarrollo de aplicaciones móviles con integración de tecnologías emergentes</t>
        </is>
      </c>
      <c r="C42" s="24" t="inlineStr">
        <is>
          <t>Aplicaciones Móviles</t>
        </is>
      </c>
      <c r="D42" s="25" t="inlineStr">
        <is>
          <t>Desarrollo De Aplicaciones Móviles Con Tecnologías Emergentes</t>
        </is>
      </c>
      <c r="E42" s="26" t="n">
        <v>10800</v>
      </c>
      <c r="F42" s="27">
        <f>E42/Config!$B$1</f>
        <v/>
      </c>
      <c r="G42" s="24" t="inlineStr">
        <is>
          <t>Real</t>
        </is>
      </c>
    </row>
    <row r="43" ht="23.25" customHeight="1" s="19">
      <c r="A43" s="24" t="n">
        <v>7735</v>
      </c>
      <c r="B43" s="25" t="inlineStr">
        <is>
          <t>Servicios de desarrollo de aplicaciones móviles con integración de tecnologías emergentes</t>
        </is>
      </c>
      <c r="C43" s="24" t="inlineStr">
        <is>
          <t>Aplicaciones Móviles</t>
        </is>
      </c>
      <c r="D43" s="25" t="inlineStr">
        <is>
          <t>Desarrollo De Aplicaciones Móviles Con Tecnologías Emergentes</t>
        </is>
      </c>
      <c r="E43" s="26" t="n">
        <v>6200</v>
      </c>
      <c r="F43" s="27">
        <f>E43/Config!$B$1</f>
        <v/>
      </c>
      <c r="G43" s="28" t="inlineStr">
        <is>
          <t>Estimado (mediana de categoría)</t>
        </is>
      </c>
    </row>
    <row r="44" ht="23.25" customHeight="1" s="19">
      <c r="A44" s="24" t="n">
        <v>5987</v>
      </c>
      <c r="B44" s="25" t="inlineStr">
        <is>
          <t>Servicios de desarrollo de aplicaciones móviles nativas con integración de realidad aumentada y realidad virtual</t>
        </is>
      </c>
      <c r="C44" s="24" t="inlineStr">
        <is>
          <t>Aplicaciones Móviles</t>
        </is>
      </c>
      <c r="D44" s="25" t="inlineStr">
        <is>
          <t>Desarrollo De Aplicaciones Móviles Con Realidad Aumentada Y Virtual</t>
        </is>
      </c>
      <c r="E44" s="26" t="n">
        <v>13500</v>
      </c>
      <c r="F44" s="27">
        <f>E44/Config!$B$1</f>
        <v/>
      </c>
      <c r="G44" s="24" t="inlineStr">
        <is>
          <t>Real</t>
        </is>
      </c>
    </row>
    <row r="45" ht="23.25" customHeight="1" s="19">
      <c r="A45" s="24" t="n">
        <v>7750</v>
      </c>
      <c r="B45" s="25" t="inlineStr">
        <is>
          <t>Servicios de desarrollo de aplicaciones móviles nativas con integración de realidad aumentada y realidad virtual</t>
        </is>
      </c>
      <c r="C45" s="24" t="inlineStr">
        <is>
          <t>Aplicaciones Móviles</t>
        </is>
      </c>
      <c r="D45" s="25" t="inlineStr">
        <is>
          <t>Desarrollo De Aplicaciones Móviles Con Realidad Aumentada Y Virtual</t>
        </is>
      </c>
      <c r="E45" s="26" t="n">
        <v>6200</v>
      </c>
      <c r="F45" s="27">
        <f>E45/Config!$B$1</f>
        <v/>
      </c>
      <c r="G45" s="28" t="inlineStr">
        <is>
          <t>Estimado (mediana de categoría)</t>
        </is>
      </c>
    </row>
    <row r="46" ht="34.5" customHeight="1" s="19">
      <c r="A46" s="24" t="n">
        <v>6435</v>
      </c>
      <c r="B46" s="25" t="inlineStr">
        <is>
          <t>Servicios de desarrollo de aplicaciones móviles para empresas</t>
        </is>
      </c>
      <c r="C46" s="24" t="inlineStr">
        <is>
          <t>Aplicaciones Móviles</t>
        </is>
      </c>
      <c r="D46" s="25" t="inlineStr">
        <is>
          <t>Servicios De Consultoría Y Construcción De Soluciones Móviles Para Mejorar La Productividad, Eficiencia Y Experiencia De Los Usuarios.</t>
        </is>
      </c>
      <c r="E46" s="26" t="n">
        <v>22500</v>
      </c>
      <c r="F46" s="27">
        <f>E46/Config!$B$1</f>
        <v/>
      </c>
      <c r="G46" s="24" t="inlineStr">
        <is>
          <t>Real</t>
        </is>
      </c>
    </row>
    <row r="47" ht="34.5" customHeight="1" s="19">
      <c r="A47" s="24" t="n">
        <v>8146</v>
      </c>
      <c r="B47" s="25" t="inlineStr">
        <is>
          <t>Servicios de desarrollo de aplicaciones móviles para empresas</t>
        </is>
      </c>
      <c r="C47" s="24" t="inlineStr">
        <is>
          <t>Aplicaciones Móviles</t>
        </is>
      </c>
      <c r="D47" s="25" t="inlineStr">
        <is>
          <t>Servicios De Consultoría Y Construcción De Soluciones Móviles Para Mejorar La Productividad, Eficiencia Y Experiencia De Los Usuarios.</t>
        </is>
      </c>
      <c r="E47" s="26" t="n">
        <v>6200</v>
      </c>
      <c r="F47" s="27">
        <f>E47/Config!$B$1</f>
        <v/>
      </c>
      <c r="G47" s="28" t="inlineStr">
        <is>
          <t>Estimado (mediana de categoría)</t>
        </is>
      </c>
    </row>
    <row r="48" ht="15" customHeight="1" s="19">
      <c r="A48" s="24" t="n">
        <v>6899</v>
      </c>
      <c r="B48" s="25" t="inlineStr">
        <is>
          <t>Soluciones Personalizadas para Apps</t>
        </is>
      </c>
      <c r="C48" s="24" t="inlineStr">
        <is>
          <t>Aplicaciones Móviles</t>
        </is>
      </c>
      <c r="D48" s="25" t="inlineStr">
        <is>
          <t>Apps Móviles Personalizadas.</t>
        </is>
      </c>
      <c r="E48" s="26" t="n">
        <v>3800</v>
      </c>
      <c r="F48" s="27">
        <f>E48/Config!$B$1</f>
        <v/>
      </c>
      <c r="G48" s="24" t="inlineStr">
        <is>
          <t>Real</t>
        </is>
      </c>
    </row>
    <row r="49" ht="15" customHeight="1" s="19">
      <c r="A49" s="24" t="n">
        <v>6917</v>
      </c>
      <c r="B49" s="25" t="inlineStr">
        <is>
          <t>Soluciones Personalizadas para Diferentes Plataformas</t>
        </is>
      </c>
      <c r="C49" s="24" t="inlineStr">
        <is>
          <t>Aplicaciones Móviles</t>
        </is>
      </c>
      <c r="D49" s="25" t="inlineStr">
        <is>
          <t>Soluciones Móviles Personalizadas.</t>
        </is>
      </c>
      <c r="E49" s="26" t="n">
        <v>5000</v>
      </c>
      <c r="F49" s="27">
        <f>E49/Config!$B$1</f>
        <v/>
      </c>
      <c r="G49" s="24" t="inlineStr">
        <is>
          <t>Real</t>
        </is>
      </c>
    </row>
    <row r="50" ht="15" customHeight="1" s="19">
      <c r="A50" s="24" t="n">
        <v>6907</v>
      </c>
      <c r="B50" s="25" t="inlineStr">
        <is>
          <t>Soluciones Personalizadas para Móviles</t>
        </is>
      </c>
      <c r="C50" s="24" t="inlineStr">
        <is>
          <t>Aplicaciones Móviles</t>
        </is>
      </c>
      <c r="D50" s="25" t="inlineStr">
        <is>
          <t>Soluciones Móviles Personalizadas.</t>
        </is>
      </c>
      <c r="E50" s="26" t="n">
        <v>3500</v>
      </c>
      <c r="F50" s="27">
        <f>E50/Config!$B$1</f>
        <v/>
      </c>
      <c r="G50" s="24" t="inlineStr">
        <is>
          <t>Real</t>
        </is>
      </c>
    </row>
    <row r="51" ht="15" customHeight="1" s="19">
      <c r="A51" s="24" t="n">
        <v>6913</v>
      </c>
      <c r="B51" s="25" t="inlineStr">
        <is>
          <t>Soluciones Personalizadas para Plataformas Móviles</t>
        </is>
      </c>
      <c r="C51" s="24" t="inlineStr">
        <is>
          <t>Aplicaciones Móviles</t>
        </is>
      </c>
      <c r="D51" s="25" t="inlineStr">
        <is>
          <t>Soluciones Móviles Personalizadas.</t>
        </is>
      </c>
      <c r="E51" s="26" t="n">
        <v>2700</v>
      </c>
      <c r="F51" s="27">
        <f>E51/Config!$B$1</f>
        <v/>
      </c>
      <c r="G51" s="24" t="inlineStr">
        <is>
          <t>Real</t>
        </is>
      </c>
    </row>
    <row r="52" ht="23.25" customHeight="1" s="19">
      <c r="A52" s="24" t="n">
        <v>7504</v>
      </c>
      <c r="B52" s="25" t="inlineStr">
        <is>
          <t>$200 por incidente: Protección integral para tu tranquilidad</t>
        </is>
      </c>
      <c r="C52" s="24" t="inlineStr">
        <is>
          <t>Atención al Cliente</t>
        </is>
      </c>
      <c r="D52" s="25" t="inlineStr">
        <is>
          <t>$200 por incidente: Protección integral para tu tranquilidad</t>
        </is>
      </c>
      <c r="E52" s="26" t="n">
        <v>1200</v>
      </c>
      <c r="F52" s="27">
        <f>E52/Config!$B$1</f>
        <v/>
      </c>
      <c r="G52" s="24" t="inlineStr">
        <is>
          <t>Real</t>
        </is>
      </c>
    </row>
    <row r="53" ht="15" customHeight="1" s="19">
      <c r="A53" s="24" t="n">
        <v>6303</v>
      </c>
      <c r="B53" s="25" t="inlineStr">
        <is>
          <t>**Soporte Técnico**</t>
        </is>
      </c>
      <c r="C53" s="24" t="inlineStr">
        <is>
          <t>Atención al Cliente</t>
        </is>
      </c>
      <c r="D53" s="25" t="inlineStr">
        <is>
          <t>Soporte Técnico Para Usuarios Finales.</t>
        </is>
      </c>
      <c r="E53" s="26" t="n">
        <v>45</v>
      </c>
      <c r="F53" s="27">
        <f>E53/Config!$B$1</f>
        <v/>
      </c>
      <c r="G53" s="24" t="inlineStr">
        <is>
          <t>Real</t>
        </is>
      </c>
    </row>
    <row r="54" ht="15" customHeight="1" s="19">
      <c r="A54" s="24" t="n">
        <v>6154</v>
      </c>
      <c r="B54" s="25" t="inlineStr">
        <is>
          <t>Actualización de Sistemas Operativos</t>
        </is>
      </c>
      <c r="C54" s="24" t="inlineStr">
        <is>
          <t>Atención al Cliente</t>
        </is>
      </c>
      <c r="D54" s="25" t="inlineStr">
        <is>
          <t>Actualización De Sistemas Operativos.</t>
        </is>
      </c>
      <c r="E54" s="26" t="n">
        <v>1000</v>
      </c>
      <c r="F54" s="27">
        <f>E54/Config!$B$1</f>
        <v/>
      </c>
      <c r="G54" s="24" t="inlineStr">
        <is>
          <t>Real</t>
        </is>
      </c>
    </row>
    <row r="55" ht="15" customHeight="1" s="19">
      <c r="A55" s="24" t="n">
        <v>7878</v>
      </c>
      <c r="B55" s="25" t="inlineStr">
        <is>
          <t>Actualización de Sistemas Operativos</t>
        </is>
      </c>
      <c r="C55" s="24" t="inlineStr">
        <is>
          <t>Atención al Cliente</t>
        </is>
      </c>
      <c r="D55" s="25" t="inlineStr">
        <is>
          <t>Actualización De Sistemas Operativos.</t>
        </is>
      </c>
      <c r="E55" s="26" t="n">
        <v>1000</v>
      </c>
      <c r="F55" s="27">
        <f>E55/Config!$B$1</f>
        <v/>
      </c>
      <c r="G55" s="28" t="inlineStr">
        <is>
          <t>Estimado (mediana de categoría)</t>
        </is>
      </c>
    </row>
    <row r="56" ht="15" customHeight="1" s="19">
      <c r="A56" s="24" t="n">
        <v>6305</v>
      </c>
      <c r="B56" s="25" t="inlineStr">
        <is>
          <t>Actualización de software</t>
        </is>
      </c>
      <c r="C56" s="24" t="inlineStr">
        <is>
          <t>Atención al Cliente</t>
        </is>
      </c>
      <c r="D56" s="25" t="inlineStr">
        <is>
          <t>Actualización De Software Y Parches De Seguridad.</t>
        </is>
      </c>
      <c r="E56" s="26" t="n">
        <v>65</v>
      </c>
      <c r="F56" s="27">
        <f>E56/Config!$B$1</f>
        <v/>
      </c>
      <c r="G56" s="24" t="inlineStr">
        <is>
          <t>Real</t>
        </is>
      </c>
    </row>
    <row r="57" ht="15" customHeight="1" s="19">
      <c r="A57" s="24" t="n">
        <v>8017</v>
      </c>
      <c r="B57" s="25" t="inlineStr">
        <is>
          <t>Actualización de software</t>
        </is>
      </c>
      <c r="C57" s="24" t="inlineStr">
        <is>
          <t>Atención al Cliente</t>
        </is>
      </c>
      <c r="D57" s="25" t="inlineStr">
        <is>
          <t>Actualización De Software Y Parches De Seguridad.</t>
        </is>
      </c>
      <c r="E57" s="26" t="n">
        <v>1000</v>
      </c>
      <c r="F57" s="27">
        <f>E57/Config!$B$1</f>
        <v/>
      </c>
      <c r="G57" s="28" t="inlineStr">
        <is>
          <t>Estimado (mediana de categoría)</t>
        </is>
      </c>
    </row>
    <row r="58" ht="23.25" customHeight="1" s="19">
      <c r="A58" s="24" t="n">
        <v>6516</v>
      </c>
      <c r="B58" s="25" t="inlineStr">
        <is>
          <t>Alquiler de equipo audiovisual</t>
        </is>
      </c>
      <c r="C58" s="24" t="inlineStr">
        <is>
          <t>Atención al Cliente</t>
        </is>
      </c>
      <c r="D58" s="25" t="inlineStr">
        <is>
          <t>Alquiler De Equipos Audiovisuales Profesionales Para Proyectos De Producción De Contenido.</t>
        </is>
      </c>
      <c r="E58" s="26" t="n">
        <v>500</v>
      </c>
      <c r="F58" s="27">
        <f>E58/Config!$B$1</f>
        <v/>
      </c>
      <c r="G58" s="24" t="inlineStr">
        <is>
          <t>Real</t>
        </is>
      </c>
    </row>
    <row r="59" ht="15" customHeight="1" s="19">
      <c r="A59" s="24" t="n">
        <v>6469</v>
      </c>
      <c r="B59" s="25" t="inlineStr">
        <is>
          <t>Asesoría de imagen personal</t>
        </is>
      </c>
      <c r="C59" s="24" t="inlineStr">
        <is>
          <t>Atención al Cliente</t>
        </is>
      </c>
      <c r="D59" s="25" t="inlineStr">
        <is>
          <t>Servicio De Asesoría Integral De Imagen Personal.</t>
        </is>
      </c>
      <c r="E59" s="26" t="n">
        <v>300</v>
      </c>
      <c r="F59" s="27">
        <f>E59/Config!$B$1</f>
        <v/>
      </c>
      <c r="G59" s="24" t="inlineStr">
        <is>
          <t>Real</t>
        </is>
      </c>
    </row>
    <row r="60" ht="23.25" customHeight="1" s="19">
      <c r="A60" s="24" t="n">
        <v>7473</v>
      </c>
      <c r="B60" s="25" t="inlineStr">
        <is>
          <t>Asistencia técnica por incidente a $150</t>
        </is>
      </c>
      <c r="C60" s="24" t="inlineStr">
        <is>
          <t>Atención al Cliente</t>
        </is>
      </c>
      <c r="D60" s="25" t="inlineStr">
        <is>
          <t>$150 por incidente: Protección integral para tu tranquilidad</t>
        </is>
      </c>
      <c r="E60" s="26" t="n">
        <v>1000</v>
      </c>
      <c r="F60" s="27">
        <f>E60/Config!$B$1</f>
        <v/>
      </c>
      <c r="G60" s="24" t="inlineStr">
        <is>
          <t>Real</t>
        </is>
      </c>
    </row>
    <row r="61" ht="15" customHeight="1" s="19">
      <c r="A61" s="24" t="n">
        <v>5932</v>
      </c>
      <c r="B61" s="25" t="inlineStr">
        <is>
          <t>Asistencia técnica remota</t>
        </is>
      </c>
      <c r="C61" s="24" t="inlineStr">
        <is>
          <t>Atención al Cliente</t>
        </is>
      </c>
      <c r="D61" s="25" t="inlineStr">
        <is>
          <t>Asistencia Técnica Remota</t>
        </is>
      </c>
      <c r="E61" s="26" t="n">
        <v>3000</v>
      </c>
      <c r="F61" s="27">
        <f>E61/Config!$B$1</f>
        <v/>
      </c>
      <c r="G61" s="24" t="inlineStr">
        <is>
          <t>Real</t>
        </is>
      </c>
    </row>
    <row r="62" ht="15" customHeight="1" s="19">
      <c r="A62" s="24" t="n">
        <v>7714</v>
      </c>
      <c r="B62" s="25" t="inlineStr">
        <is>
          <t>Asistencia técnica remota</t>
        </is>
      </c>
      <c r="C62" s="24" t="inlineStr">
        <is>
          <t>Atención al Cliente</t>
        </is>
      </c>
      <c r="D62" s="25" t="inlineStr">
        <is>
          <t>Asistencia Técnica Remota</t>
        </is>
      </c>
      <c r="E62" s="26" t="n">
        <v>1000</v>
      </c>
      <c r="F62" s="27">
        <f>E62/Config!$B$1</f>
        <v/>
      </c>
      <c r="G62" s="28" t="inlineStr">
        <is>
          <t>Estimado (mediana de categoría)</t>
        </is>
      </c>
    </row>
    <row r="63" ht="15" customHeight="1" s="19">
      <c r="A63" s="24" t="n">
        <v>6309</v>
      </c>
      <c r="B63" s="25" t="inlineStr">
        <is>
          <t>Atención Al Cliente</t>
        </is>
      </c>
      <c r="C63" s="24" t="inlineStr">
        <is>
          <t>Atención al Cliente</t>
        </is>
      </c>
      <c r="D63" s="25" t="inlineStr">
        <is>
          <t>Servicios De Atención Y Soporte Al Cliente.</t>
        </is>
      </c>
      <c r="E63" s="26" t="n">
        <v>35</v>
      </c>
      <c r="F63" s="27">
        <f>E63/Config!$B$1</f>
        <v/>
      </c>
      <c r="G63" s="24" t="inlineStr">
        <is>
          <t>Real</t>
        </is>
      </c>
    </row>
    <row r="64" ht="15" customHeight="1" s="19">
      <c r="A64" s="24" t="n">
        <v>8020</v>
      </c>
      <c r="B64" s="25" t="inlineStr">
        <is>
          <t>Atención Al Cliente</t>
        </is>
      </c>
      <c r="C64" s="24" t="inlineStr">
        <is>
          <t>Atención al Cliente</t>
        </is>
      </c>
      <c r="D64" s="25" t="inlineStr">
        <is>
          <t>Servicios De Atención Y Soporte Al Cliente.</t>
        </is>
      </c>
      <c r="E64" s="26" t="n">
        <v>1000</v>
      </c>
      <c r="F64" s="27">
        <f>E64/Config!$B$1</f>
        <v/>
      </c>
      <c r="G64" s="28" t="inlineStr">
        <is>
          <t>Estimado (mediana de categoría)</t>
        </is>
      </c>
    </row>
    <row r="65" ht="23.25" customHeight="1" s="19">
      <c r="A65" s="24" t="n">
        <v>6171</v>
      </c>
      <c r="B65" s="25" t="inlineStr">
        <is>
          <t>Automatización de Encuestas y Retroalimentación del Cliente</t>
        </is>
      </c>
      <c r="C65" s="24" t="inlineStr">
        <is>
          <t>Atención al Cliente</t>
        </is>
      </c>
      <c r="D65" s="25" t="inlineStr">
        <is>
          <t>Encuestas Automatizadas</t>
        </is>
      </c>
      <c r="E65" s="26" t="n">
        <v>3200</v>
      </c>
      <c r="F65" s="27">
        <f>E65/Config!$B$1</f>
        <v/>
      </c>
      <c r="G65" s="24" t="inlineStr">
        <is>
          <t>Real</t>
        </is>
      </c>
    </row>
    <row r="66" ht="23.25" customHeight="1" s="19">
      <c r="A66" s="24" t="n">
        <v>7895</v>
      </c>
      <c r="B66" s="25" t="inlineStr">
        <is>
          <t>Automatización de Encuestas y Retroalimentación del Cliente</t>
        </is>
      </c>
      <c r="C66" s="24" t="inlineStr">
        <is>
          <t>Atención al Cliente</t>
        </is>
      </c>
      <c r="D66" s="25" t="inlineStr">
        <is>
          <t>Encuestas Automatizadas</t>
        </is>
      </c>
      <c r="E66" s="26" t="n">
        <v>1000</v>
      </c>
      <c r="F66" s="27">
        <f>E66/Config!$B$1</f>
        <v/>
      </c>
      <c r="G66" s="28" t="inlineStr">
        <is>
          <t>Estimado (mediana de categoría)</t>
        </is>
      </c>
    </row>
    <row r="67" ht="15" customHeight="1" s="19">
      <c r="A67" s="24" t="n">
        <v>6223</v>
      </c>
      <c r="B67" s="25" t="inlineStr">
        <is>
          <t>Automatización de Servicio al Cliente</t>
        </is>
      </c>
      <c r="C67" s="24" t="inlineStr">
        <is>
          <t>Atención al Cliente</t>
        </is>
      </c>
      <c r="D67" s="25" t="inlineStr">
        <is>
          <t>Automatización Del Servicio Al Cliente</t>
        </is>
      </c>
      <c r="E67" s="26" t="n">
        <v>13500</v>
      </c>
      <c r="F67" s="27">
        <f>E67/Config!$B$1</f>
        <v/>
      </c>
      <c r="G67" s="24" t="inlineStr">
        <is>
          <t>Real</t>
        </is>
      </c>
    </row>
    <row r="68" ht="15" customHeight="1" s="19">
      <c r="A68" s="24" t="n">
        <v>7947</v>
      </c>
      <c r="B68" s="25" t="inlineStr">
        <is>
          <t>Automatización de Servicio al Cliente</t>
        </is>
      </c>
      <c r="C68" s="24" t="inlineStr">
        <is>
          <t>Atención al Cliente</t>
        </is>
      </c>
      <c r="D68" s="25" t="inlineStr">
        <is>
          <t>Automatización Del Servicio Al Cliente</t>
        </is>
      </c>
      <c r="E68" s="26" t="n">
        <v>1000</v>
      </c>
      <c r="F68" s="27">
        <f>E68/Config!$B$1</f>
        <v/>
      </c>
      <c r="G68" s="28" t="inlineStr">
        <is>
          <t>Estimado (mediana de categoría)</t>
        </is>
      </c>
    </row>
    <row r="69" ht="15" customHeight="1" s="19">
      <c r="A69" s="24" t="n">
        <v>6185</v>
      </c>
      <c r="B69" s="25" t="inlineStr">
        <is>
          <t>Automatización de Servicio al Cliente con IA</t>
        </is>
      </c>
      <c r="C69" s="24" t="inlineStr">
        <is>
          <t>Atención al Cliente</t>
        </is>
      </c>
      <c r="D69" s="25" t="inlineStr">
        <is>
          <t>Chatbots Para Servicio Al Cliente</t>
        </is>
      </c>
      <c r="E69" s="26" t="n">
        <v>280</v>
      </c>
      <c r="F69" s="27">
        <f>E69/Config!$B$1</f>
        <v/>
      </c>
      <c r="G69" s="24" t="inlineStr">
        <is>
          <t>Real</t>
        </is>
      </c>
    </row>
    <row r="70" ht="15" customHeight="1" s="19">
      <c r="A70" s="24" t="n">
        <v>7909</v>
      </c>
      <c r="B70" s="25" t="inlineStr">
        <is>
          <t>Automatización de Servicio al Cliente con IA</t>
        </is>
      </c>
      <c r="C70" s="24" t="inlineStr">
        <is>
          <t>Atención al Cliente</t>
        </is>
      </c>
      <c r="D70" s="25" t="inlineStr">
        <is>
          <t>Chatbots Para Servicio Al Cliente</t>
        </is>
      </c>
      <c r="E70" s="26" t="n">
        <v>1000</v>
      </c>
      <c r="F70" s="27">
        <f>E70/Config!$B$1</f>
        <v/>
      </c>
      <c r="G70" s="28" t="inlineStr">
        <is>
          <t>Estimado (mediana de categoría)</t>
        </is>
      </c>
    </row>
    <row r="71" ht="23.25" customHeight="1" s="19">
      <c r="A71" s="24" t="n">
        <v>6167</v>
      </c>
      <c r="B71" s="25" t="inlineStr">
        <is>
          <t>Automatización de Servicio al Cliente en Plataformas Móviles</t>
        </is>
      </c>
      <c r="C71" s="24" t="inlineStr">
        <is>
          <t>Atención al Cliente</t>
        </is>
      </c>
      <c r="D71" s="25" t="inlineStr">
        <is>
          <t>Automatización En Móviles</t>
        </is>
      </c>
      <c r="E71" s="26" t="n">
        <v>5500</v>
      </c>
      <c r="F71" s="27">
        <f>E71/Config!$B$1</f>
        <v/>
      </c>
      <c r="G71" s="24" t="inlineStr">
        <is>
          <t>Real</t>
        </is>
      </c>
    </row>
    <row r="72" ht="23.25" customHeight="1" s="19">
      <c r="A72" s="24" t="n">
        <v>7891</v>
      </c>
      <c r="B72" s="25" t="inlineStr">
        <is>
          <t>Automatización de Servicio al Cliente en Plataformas Móviles</t>
        </is>
      </c>
      <c r="C72" s="24" t="inlineStr">
        <is>
          <t>Atención al Cliente</t>
        </is>
      </c>
      <c r="D72" s="25" t="inlineStr">
        <is>
          <t>Automatización En Móviles</t>
        </is>
      </c>
      <c r="E72" s="26" t="n">
        <v>1000</v>
      </c>
      <c r="F72" s="27">
        <f>E72/Config!$B$1</f>
        <v/>
      </c>
      <c r="G72" s="28" t="inlineStr">
        <is>
          <t>Estimado (mediana de categoría)</t>
        </is>
      </c>
    </row>
    <row r="73" ht="45.75" customHeight="1" s="19">
      <c r="A73" s="24" t="n">
        <v>6536</v>
      </c>
      <c r="B73" s="25" t="inlineStr">
        <is>
          <t>Chatbot de Atención al Cliente: Automatiza tus consultas y mejora la experiencia de tus clientes</t>
        </is>
      </c>
      <c r="C73" s="24" t="inlineStr">
        <is>
          <t>Atención al Cliente</t>
        </is>
      </c>
      <c r="D73" s="25" t="inlineStr">
        <is>
          <t>Servicio de chatbot de atención al cliente para e-commerce. Automatiza las consultas de los clientes 24/7, mejora la experiencia del usuario y aumenta las ventas.</t>
        </is>
      </c>
      <c r="E73" s="26" t="n">
        <v>1500</v>
      </c>
      <c r="F73" s="27">
        <f>E73/Config!$B$1</f>
        <v/>
      </c>
      <c r="G73" s="24" t="inlineStr">
        <is>
          <t>Real</t>
        </is>
      </c>
    </row>
    <row r="74" ht="45.75" customHeight="1" s="19">
      <c r="A74" s="24" t="n">
        <v>8238</v>
      </c>
      <c r="B74" s="25" t="inlineStr">
        <is>
          <t>Chatbot de Atención al Cliente: Automatiza tus consultas y mejora la experiencia de tus clientes</t>
        </is>
      </c>
      <c r="C74" s="24" t="inlineStr">
        <is>
          <t>Atención al Cliente</t>
        </is>
      </c>
      <c r="D74" s="25" t="inlineStr">
        <is>
          <t>Chatbot de Atención al Cliente: Automatiza consultas, mejora la experiencia del cliente. Responde 24/7, personalizable, multicanal. Mejora la experiencia, aumenta ventas, reduce costos, fortalece la marca.</t>
        </is>
      </c>
      <c r="E74" s="26" t="n">
        <v>1000</v>
      </c>
      <c r="F74" s="27">
        <f>E74/Config!$B$1</f>
        <v/>
      </c>
      <c r="G74" s="28" t="inlineStr">
        <is>
          <t>Estimado (mediana de categoría)</t>
        </is>
      </c>
    </row>
    <row r="75" ht="15" customHeight="1" s="19">
      <c r="A75" s="24" t="n">
        <v>6162</v>
      </c>
      <c r="B75" s="25" t="inlineStr">
        <is>
          <t>Chatbots Avanzados para Experiencias Personalizadas</t>
        </is>
      </c>
      <c r="C75" s="24" t="inlineStr">
        <is>
          <t>Atención al Cliente</t>
        </is>
      </c>
      <c r="D75" s="25" t="inlineStr">
        <is>
          <t>Chatbots Avanzados</t>
        </is>
      </c>
      <c r="E75" s="26" t="n">
        <v>5500</v>
      </c>
      <c r="F75" s="27">
        <f>E75/Config!$B$1</f>
        <v/>
      </c>
      <c r="G75" s="24" t="inlineStr">
        <is>
          <t>Real</t>
        </is>
      </c>
    </row>
    <row r="76" ht="15" customHeight="1" s="19">
      <c r="A76" s="24" t="n">
        <v>7886</v>
      </c>
      <c r="B76" s="25" t="inlineStr">
        <is>
          <t>Chatbots Avanzados para Experiencias Personalizadas</t>
        </is>
      </c>
      <c r="C76" s="24" t="inlineStr">
        <is>
          <t>Atención al Cliente</t>
        </is>
      </c>
      <c r="D76" s="25" t="inlineStr">
        <is>
          <t>Chatbots Avanzados</t>
        </is>
      </c>
      <c r="E76" s="26" t="n">
        <v>1000</v>
      </c>
      <c r="F76" s="27">
        <f>E76/Config!$B$1</f>
        <v/>
      </c>
      <c r="G76" s="28" t="inlineStr">
        <is>
          <t>Estimado (mediana de categoría)</t>
        </is>
      </c>
    </row>
    <row r="77" ht="34.5" customHeight="1" s="19">
      <c r="A77" s="24" t="n">
        <v>8408</v>
      </c>
      <c r="B77" s="25" t="inlineStr">
        <is>
          <t>Chatbots para E-commerce: Asistencia 24/7, Respuestas Automáticas y Procesamiento de Pedidos</t>
        </is>
      </c>
      <c r="C77" s="24" t="inlineStr">
        <is>
          <t>Atención al Cliente</t>
        </is>
      </c>
      <c r="D77" s="25" t="inlineStr">
        <is>
          <t>Chatbots para E-commerce: Asistencia en tiempo real, respuestas a preguntas frecuentes y procesamiento de pedidos</t>
        </is>
      </c>
      <c r="E77" s="26" t="n">
        <v>1000</v>
      </c>
      <c r="F77" s="27">
        <f>E77/Config!$B$1</f>
        <v/>
      </c>
      <c r="G77" s="28" t="inlineStr">
        <is>
          <t>Estimado (mediana de categoría)</t>
        </is>
      </c>
    </row>
    <row r="78" ht="23.25" customHeight="1" s="19">
      <c r="A78" s="24" t="n">
        <v>8348</v>
      </c>
      <c r="B78" s="25" t="inlineStr">
        <is>
          <t>Chatbots para Ecommerce: Atención al cliente mejorada y ventas aumentadas</t>
        </is>
      </c>
      <c r="C78" s="24" t="inlineStr">
        <is>
          <t>Atención al Cliente</t>
        </is>
      </c>
      <c r="D78" s="25" t="inlineStr">
        <is>
          <t>Chatbots para Ecommerce: Mejoran la atención al cliente y aumentan las ventas</t>
        </is>
      </c>
      <c r="E78" s="26" t="n">
        <v>1000</v>
      </c>
      <c r="F78" s="27">
        <f>E78/Config!$B$1</f>
        <v/>
      </c>
      <c r="G78" s="28" t="inlineStr">
        <is>
          <t>Estimado (mediana de categoría)</t>
        </is>
      </c>
    </row>
    <row r="79" ht="23.25" customHeight="1" s="19">
      <c r="A79" s="24" t="n">
        <v>6647</v>
      </c>
      <c r="B79" s="25" t="inlineStr">
        <is>
          <t>Chatbots para Ecommerce: Mejora la atención al cliente y aumenta tus ventas</t>
        </is>
      </c>
      <c r="C79" s="24" t="inlineStr">
        <is>
          <t>Atención al Cliente</t>
        </is>
      </c>
      <c r="D79" s="25" t="inlineStr">
        <is>
          <t>Chatbots para Ecommerce que mejoran la atención al cliente.</t>
        </is>
      </c>
      <c r="E79" s="26" t="n">
        <v>1000</v>
      </c>
      <c r="F79" s="27">
        <f>E79/Config!$B$1</f>
        <v/>
      </c>
      <c r="G79" s="24" t="inlineStr">
        <is>
          <t>Real</t>
        </is>
      </c>
    </row>
    <row r="80" ht="15" customHeight="1" s="19">
      <c r="A80" s="24" t="n">
        <v>6183</v>
      </c>
      <c r="B80" s="25" t="inlineStr">
        <is>
          <t>Chatbots para Ventas</t>
        </is>
      </c>
      <c r="C80" s="24" t="inlineStr">
        <is>
          <t>Atención al Cliente</t>
        </is>
      </c>
      <c r="D80" s="25" t="inlineStr">
        <is>
          <t>Chatbots Para Ventas Con Ia</t>
        </is>
      </c>
      <c r="E80" s="26" t="n">
        <v>70</v>
      </c>
      <c r="F80" s="27">
        <f>E80/Config!$B$1</f>
        <v/>
      </c>
      <c r="G80" s="24" t="inlineStr">
        <is>
          <t>Real</t>
        </is>
      </c>
    </row>
    <row r="81" ht="15" customHeight="1" s="19">
      <c r="A81" s="24" t="n">
        <v>7907</v>
      </c>
      <c r="B81" s="25" t="inlineStr">
        <is>
          <t>Chatbots para Ventas</t>
        </is>
      </c>
      <c r="C81" s="24" t="inlineStr">
        <is>
          <t>Atención al Cliente</t>
        </is>
      </c>
      <c r="D81" s="25" t="inlineStr">
        <is>
          <t>Chatbots Para Ventas Con Ia</t>
        </is>
      </c>
      <c r="E81" s="26" t="n">
        <v>1000</v>
      </c>
      <c r="F81" s="27">
        <f>E81/Config!$B$1</f>
        <v/>
      </c>
      <c r="G81" s="28" t="inlineStr">
        <is>
          <t>Estimado (mediana de categoría)</t>
        </is>
      </c>
    </row>
    <row r="82" ht="23.25" customHeight="1" s="19">
      <c r="A82" s="24" t="n">
        <v>7779</v>
      </c>
      <c r="B82" s="25" t="inlineStr">
        <is>
          <t>Consultoría en Gestión de la Experiencia del Cliente (CX)</t>
        </is>
      </c>
      <c r="C82" s="24" t="inlineStr">
        <is>
          <t>Atención al Cliente</t>
        </is>
      </c>
      <c r="D82" s="25" t="inlineStr">
        <is>
          <t>Optimización De La Experiencia Del Cliente</t>
        </is>
      </c>
      <c r="E82" s="26" t="n">
        <v>1000</v>
      </c>
      <c r="F82" s="27">
        <f>E82/Config!$B$1</f>
        <v/>
      </c>
      <c r="G82" s="28" t="inlineStr">
        <is>
          <t>Estimado (mediana de categoría)</t>
        </is>
      </c>
    </row>
    <row r="83" ht="23.25" customHeight="1" s="19">
      <c r="A83" s="24" t="n">
        <v>7757</v>
      </c>
      <c r="B83" s="25" t="inlineStr">
        <is>
          <t>Consultoría en gestión de la experiencia del cliente (CX) y optimización de procesos centrados en el usuario</t>
        </is>
      </c>
      <c r="C83" s="24" t="inlineStr">
        <is>
          <t>Atención al Cliente</t>
        </is>
      </c>
      <c r="D83" s="25" t="inlineStr">
        <is>
          <t>Consultoría</t>
        </is>
      </c>
      <c r="E83" s="26" t="n">
        <v>1000</v>
      </c>
      <c r="F83" s="27">
        <f>E83/Config!$B$1</f>
        <v/>
      </c>
      <c r="G83" s="28" t="inlineStr">
        <is>
          <t>Estimado (mediana de categoría)</t>
        </is>
      </c>
    </row>
    <row r="84" ht="15" customHeight="1" s="19">
      <c r="A84" s="24" t="n">
        <v>6306</v>
      </c>
      <c r="B84" s="25" t="inlineStr">
        <is>
          <t>Consultoría especializada</t>
        </is>
      </c>
      <c r="C84" s="24" t="inlineStr">
        <is>
          <t>Atención al Cliente</t>
        </is>
      </c>
      <c r="D84" s="25" t="inlineStr">
        <is>
          <t>Consultoría De Expertos En Áreas Especializadas.</t>
        </is>
      </c>
      <c r="E84" s="26" t="n">
        <v>135</v>
      </c>
      <c r="F84" s="27">
        <f>E84/Config!$B$1</f>
        <v/>
      </c>
      <c r="G84" s="24" t="inlineStr">
        <is>
          <t>Real</t>
        </is>
      </c>
    </row>
    <row r="85" ht="23.25" customHeight="1" s="19">
      <c r="A85" s="24" t="n">
        <v>6320</v>
      </c>
      <c r="B85" s="25" t="inlineStr">
        <is>
          <t>Consultoría legal</t>
        </is>
      </c>
      <c r="C85" s="24" t="inlineStr">
        <is>
          <t>Atención al Cliente</t>
        </is>
      </c>
      <c r="D85" s="25" t="inlineStr">
        <is>
          <t>Servicios De Consultoría Y Asesoría Legal Para Empresas.</t>
        </is>
      </c>
      <c r="E85" s="26" t="n">
        <v>2250</v>
      </c>
      <c r="F85" s="27">
        <f>E85/Config!$B$1</f>
        <v/>
      </c>
      <c r="G85" s="24" t="inlineStr">
        <is>
          <t>Real</t>
        </is>
      </c>
    </row>
    <row r="86" ht="15" customHeight="1" s="19">
      <c r="A86" s="24" t="n">
        <v>5936</v>
      </c>
      <c r="B86" s="25" t="inlineStr">
        <is>
          <t>Desarrollo de chatbots</t>
        </is>
      </c>
      <c r="C86" s="24" t="inlineStr">
        <is>
          <t>Atención al Cliente</t>
        </is>
      </c>
      <c r="D86" s="25" t="inlineStr">
        <is>
          <t>Desarrollo De Chatbots</t>
        </is>
      </c>
      <c r="E86" s="26" t="n">
        <v>5000</v>
      </c>
      <c r="F86" s="27">
        <f>E86/Config!$B$1</f>
        <v/>
      </c>
      <c r="G86" s="24" t="inlineStr">
        <is>
          <t>Real</t>
        </is>
      </c>
    </row>
    <row r="87" ht="15" customHeight="1" s="19">
      <c r="A87" s="24" t="n">
        <v>7718</v>
      </c>
      <c r="B87" s="25" t="inlineStr">
        <is>
          <t>Desarrollo de chatbots</t>
        </is>
      </c>
      <c r="C87" s="24" t="inlineStr">
        <is>
          <t>Atención al Cliente</t>
        </is>
      </c>
      <c r="D87" s="25" t="inlineStr">
        <is>
          <t>Desarrollo De Chatbots</t>
        </is>
      </c>
      <c r="E87" s="26" t="n">
        <v>1000</v>
      </c>
      <c r="F87" s="27">
        <f>E87/Config!$B$1</f>
        <v/>
      </c>
      <c r="G87" s="28" t="inlineStr">
        <is>
          <t>Estimado (mediana de categoría)</t>
        </is>
      </c>
    </row>
    <row r="88" ht="34.5" customHeight="1" s="19">
      <c r="A88" s="24" t="n">
        <v>6377</v>
      </c>
      <c r="B88" s="25" t="inlineStr">
        <is>
          <t>Desarrollo de chatbots y asistentes virtuales</t>
        </is>
      </c>
      <c r="C88" s="24" t="inlineStr">
        <is>
          <t>Atención al Cliente</t>
        </is>
      </c>
      <c r="D88" s="25" t="inlineStr">
        <is>
          <t>Servicios De Creación De Soluciones De Chatbots Y Asistentes Virtuales Para Mejorar La Experiencia Del Usuario.</t>
        </is>
      </c>
      <c r="E88" s="26" t="n">
        <v>14400</v>
      </c>
      <c r="F88" s="27">
        <f>E88/Config!$B$1</f>
        <v/>
      </c>
      <c r="G88" s="24" t="inlineStr">
        <is>
          <t>Real</t>
        </is>
      </c>
    </row>
    <row r="89" ht="34.5" customHeight="1" s="19">
      <c r="A89" s="24" t="n">
        <v>8088</v>
      </c>
      <c r="B89" s="25" t="inlineStr">
        <is>
          <t>Desarrollo de chatbots y asistentes virtuales</t>
        </is>
      </c>
      <c r="C89" s="24" t="inlineStr">
        <is>
          <t>Atención al Cliente</t>
        </is>
      </c>
      <c r="D89" s="25" t="inlineStr">
        <is>
          <t>Servicios De Creación De Soluciones De Chatbots Y Asistentes Virtuales Para Mejorar La Experiencia Del Usuario.</t>
        </is>
      </c>
      <c r="E89" s="26" t="n">
        <v>1000</v>
      </c>
      <c r="F89" s="27">
        <f>E89/Config!$B$1</f>
        <v/>
      </c>
      <c r="G89" s="28" t="inlineStr">
        <is>
          <t>Estimado (mediana de categoría)</t>
        </is>
      </c>
    </row>
    <row r="90" ht="15" customHeight="1" s="19">
      <c r="A90" s="24" t="n">
        <v>6053</v>
      </c>
      <c r="B90" s="25" t="inlineStr">
        <is>
          <t>Diseño de chatbots</t>
        </is>
      </c>
      <c r="C90" s="24" t="inlineStr">
        <is>
          <t>Atención al Cliente</t>
        </is>
      </c>
      <c r="D90" s="25" t="inlineStr">
        <is>
          <t>Chatbots</t>
        </is>
      </c>
      <c r="E90" s="26" t="n">
        <v>1000</v>
      </c>
      <c r="F90" s="27">
        <f>E90/Config!$B$1</f>
        <v/>
      </c>
      <c r="G90" s="28" t="inlineStr">
        <is>
          <t>Estimado (mediana de categoría)</t>
        </is>
      </c>
    </row>
    <row r="91" ht="15" customHeight="1" s="19">
      <c r="A91" s="24" t="n">
        <v>6468</v>
      </c>
      <c r="B91" s="25" t="inlineStr">
        <is>
          <t>Diseño de interiores</t>
        </is>
      </c>
      <c r="C91" s="24" t="inlineStr">
        <is>
          <t>Atención al Cliente</t>
        </is>
      </c>
      <c r="D91" s="25" t="inlineStr">
        <is>
          <t>Servicio De Diseño Integral De Interiores.</t>
        </is>
      </c>
      <c r="E91" s="26" t="n">
        <v>2000</v>
      </c>
      <c r="F91" s="27">
        <f>E91/Config!$B$1</f>
        <v/>
      </c>
      <c r="G91" s="24" t="inlineStr">
        <is>
          <t>Real</t>
        </is>
      </c>
    </row>
    <row r="92" ht="23.25" customHeight="1" s="19">
      <c r="A92" s="24" t="n">
        <v>6075</v>
      </c>
      <c r="B92" s="25" t="inlineStr">
        <is>
          <t>Diseño y desarrollo de chatbots</t>
        </is>
      </c>
      <c r="C92" s="24" t="inlineStr">
        <is>
          <t>Atención al Cliente</t>
        </is>
      </c>
      <c r="D92" s="25" t="inlineStr">
        <is>
          <t>Diseño Y Desarrollo De Chatbots Y Asistentes Virtuales</t>
        </is>
      </c>
      <c r="E92" s="26" t="n">
        <v>1800</v>
      </c>
      <c r="F92" s="27">
        <f>E92/Config!$B$1</f>
        <v/>
      </c>
      <c r="G92" s="24" t="inlineStr">
        <is>
          <t>Real</t>
        </is>
      </c>
    </row>
    <row r="93" ht="23.25" customHeight="1" s="19">
      <c r="A93" s="24" t="n">
        <v>7799</v>
      </c>
      <c r="B93" s="25" t="inlineStr">
        <is>
          <t>Diseño y desarrollo de chatbots</t>
        </is>
      </c>
      <c r="C93" s="24" t="inlineStr">
        <is>
          <t>Atención al Cliente</t>
        </is>
      </c>
      <c r="D93" s="25" t="inlineStr">
        <is>
          <t>Diseño Y Desarrollo De Chatbots Y Asistentes Virtuales</t>
        </is>
      </c>
      <c r="E93" s="26" t="n">
        <v>1000</v>
      </c>
      <c r="F93" s="27">
        <f>E93/Config!$B$1</f>
        <v/>
      </c>
      <c r="G93" s="28" t="inlineStr">
        <is>
          <t>Estimado (mediana de categoría)</t>
        </is>
      </c>
    </row>
    <row r="94" ht="23.25" customHeight="1" s="19">
      <c r="A94" s="24" t="n">
        <v>6286</v>
      </c>
      <c r="B94" s="25" t="inlineStr">
        <is>
          <t>Enrutamiento Inteligente de Tickets</t>
        </is>
      </c>
      <c r="C94" s="24" t="inlineStr">
        <is>
          <t>Atención al Cliente</t>
        </is>
      </c>
      <c r="D94" s="25" t="inlineStr">
        <is>
          <t>Solución De Enrutamiento Inteligente De Tickets Con Ia</t>
        </is>
      </c>
      <c r="E94" s="26" t="n">
        <v>99</v>
      </c>
      <c r="F94" s="27">
        <f>E94/Config!$B$1</f>
        <v/>
      </c>
      <c r="G94" s="24" t="inlineStr">
        <is>
          <t>Real</t>
        </is>
      </c>
    </row>
    <row r="95" ht="23.25" customHeight="1" s="19">
      <c r="A95" s="24" t="n">
        <v>7999</v>
      </c>
      <c r="B95" s="25" t="inlineStr">
        <is>
          <t>Enrutamiento Inteligente de Tickets</t>
        </is>
      </c>
      <c r="C95" s="24" t="inlineStr">
        <is>
          <t>Atención al Cliente</t>
        </is>
      </c>
      <c r="D95" s="25" t="inlineStr">
        <is>
          <t>Solución De Enrutamiento Inteligente De Tickets Con Ia</t>
        </is>
      </c>
      <c r="E95" s="26" t="n">
        <v>1000</v>
      </c>
      <c r="F95" s="27">
        <f>E95/Config!$B$1</f>
        <v/>
      </c>
      <c r="G95" s="28" t="inlineStr">
        <is>
          <t>Estimado (mediana de categoría)</t>
        </is>
      </c>
    </row>
    <row r="96" ht="15" customHeight="1" s="19">
      <c r="A96" s="24" t="n">
        <v>6288</v>
      </c>
      <c r="B96" s="25" t="inlineStr">
        <is>
          <t>Generación de Respuestas con IA</t>
        </is>
      </c>
      <c r="C96" s="24" t="inlineStr">
        <is>
          <t>Atención al Cliente</t>
        </is>
      </c>
      <c r="D96" s="25" t="inlineStr">
        <is>
          <t>Solución De Generación De Respuestas Con Ia</t>
        </is>
      </c>
      <c r="E96" s="26" t="n">
        <v>99</v>
      </c>
      <c r="F96" s="27">
        <f>E96/Config!$B$1</f>
        <v/>
      </c>
      <c r="G96" s="24" t="inlineStr">
        <is>
          <t>Real</t>
        </is>
      </c>
    </row>
    <row r="97" ht="15" customHeight="1" s="19">
      <c r="A97" s="24" t="n">
        <v>8001</v>
      </c>
      <c r="B97" s="25" t="inlineStr">
        <is>
          <t>Generación de Respuestas con IA</t>
        </is>
      </c>
      <c r="C97" s="24" t="inlineStr">
        <is>
          <t>Atención al Cliente</t>
        </is>
      </c>
      <c r="D97" s="25" t="inlineStr">
        <is>
          <t>Solución De Generación De Respuestas Con Ia</t>
        </is>
      </c>
      <c r="E97" s="26" t="n">
        <v>1000</v>
      </c>
      <c r="F97" s="27">
        <f>E97/Config!$B$1</f>
        <v/>
      </c>
      <c r="G97" s="28" t="inlineStr">
        <is>
          <t>Estimado (mediana de categoría)</t>
        </is>
      </c>
    </row>
    <row r="98" ht="45.75" customHeight="1" s="19">
      <c r="A98" s="24" t="n">
        <v>8351</v>
      </c>
      <c r="B98" s="25" t="inlineStr">
        <is>
          <t>Gestión de Reseñas y Feedback: Construye Confianza y Mejora tu Reputación Online</t>
        </is>
      </c>
      <c r="C98" s="24" t="inlineStr">
        <is>
          <t>Atención al Cliente</t>
        </is>
      </c>
      <c r="D98" s="25" t="inlineStr">
        <is>
          <t>Herramienta de gestión de reseñas y feedback para e-commerce que recopila, analiza y responde a las opiniones de los clientes, brindando información valiosa para el crecimiento del negocio.</t>
        </is>
      </c>
      <c r="E98" s="26" t="n">
        <v>1000</v>
      </c>
      <c r="F98" s="27">
        <f>E98/Config!$B$1</f>
        <v/>
      </c>
      <c r="G98" s="28" t="inlineStr">
        <is>
          <t>Estimado (mediana de categoría)</t>
        </is>
      </c>
    </row>
    <row r="99" ht="45.75" customHeight="1" s="19">
      <c r="A99" s="24" t="n">
        <v>6650</v>
      </c>
      <c r="B99" s="25" t="inlineStr">
        <is>
          <t>Gestión de Reseñas y Feedback: Mejora tu Reputación y Confianza en Línea</t>
        </is>
      </c>
      <c r="C99" s="24" t="inlineStr">
        <is>
          <t>Atención al Cliente</t>
        </is>
      </c>
      <c r="D99" s="25" t="inlineStr">
        <is>
          <t>Herramienta de gestión de reseñas y feedback para e-commerce que recopila, analiza y responde a las opiniones de los clientes, brindando información valiosa para el crecimiento del negocio.</t>
        </is>
      </c>
      <c r="E99" s="26" t="n">
        <v>800</v>
      </c>
      <c r="F99" s="27">
        <f>E99/Config!$B$1</f>
        <v/>
      </c>
      <c r="G99" s="24" t="inlineStr">
        <is>
          <t>Real</t>
        </is>
      </c>
    </row>
    <row r="100" ht="15" customHeight="1" s="19">
      <c r="A100" s="24" t="n">
        <v>7712</v>
      </c>
      <c r="B100" s="25" t="inlineStr">
        <is>
          <t>Gestión de la experiencia del cliente (CX)</t>
        </is>
      </c>
      <c r="C100" s="24" t="inlineStr">
        <is>
          <t>Atención al Cliente</t>
        </is>
      </c>
      <c r="D100" s="25" t="inlineStr">
        <is>
          <t>Gestión De La Experiencia Del Cliente</t>
        </is>
      </c>
      <c r="E100" s="26" t="n">
        <v>1000</v>
      </c>
      <c r="F100" s="27">
        <f>E100/Config!$B$1</f>
        <v/>
      </c>
      <c r="G100" s="28" t="inlineStr">
        <is>
          <t>Estimado (mediana de categoría)</t>
        </is>
      </c>
    </row>
    <row r="101" ht="15" customHeight="1" s="19">
      <c r="A101" s="24" t="n">
        <v>6315</v>
      </c>
      <c r="B101" s="25" t="inlineStr">
        <is>
          <t>Gestión de redes</t>
        </is>
      </c>
      <c r="C101" s="24" t="inlineStr">
        <is>
          <t>Atención al Cliente</t>
        </is>
      </c>
      <c r="D101" s="25" t="inlineStr">
        <is>
          <t>Gestión Y Mantenimiento De Redes.</t>
        </is>
      </c>
      <c r="E101" s="26" t="n">
        <v>180</v>
      </c>
      <c r="F101" s="27">
        <f>E101/Config!$B$1</f>
        <v/>
      </c>
      <c r="G101" s="24" t="inlineStr">
        <is>
          <t>Real</t>
        </is>
      </c>
    </row>
    <row r="102" ht="15" customHeight="1" s="19">
      <c r="A102" s="24" t="n">
        <v>5891</v>
      </c>
      <c r="B102" s="25" t="inlineStr">
        <is>
          <t>IT Support Package</t>
        </is>
      </c>
      <c r="C102" s="24" t="inlineStr">
        <is>
          <t>Atención al Cliente</t>
        </is>
      </c>
      <c r="D102" s="25" t="inlineStr">
        <is>
          <t>Soporte Técnico It</t>
        </is>
      </c>
      <c r="E102" s="26" t="n">
        <v>10000</v>
      </c>
      <c r="F102" s="27">
        <f>E102/Config!$B$1</f>
        <v/>
      </c>
      <c r="G102" s="24" t="inlineStr">
        <is>
          <t>Real</t>
        </is>
      </c>
    </row>
    <row r="103" ht="15" customHeight="1" s="19">
      <c r="A103" s="24" t="n">
        <v>7673</v>
      </c>
      <c r="B103" s="25" t="inlineStr">
        <is>
          <t>IT Support Package</t>
        </is>
      </c>
      <c r="C103" s="24" t="inlineStr">
        <is>
          <t>Atención al Cliente</t>
        </is>
      </c>
      <c r="D103" s="25" t="inlineStr">
        <is>
          <t>Soporte Técnico It</t>
        </is>
      </c>
      <c r="E103" s="26" t="n">
        <v>1000</v>
      </c>
      <c r="F103" s="27">
        <f>E103/Config!$B$1</f>
        <v/>
      </c>
      <c r="G103" s="28" t="inlineStr">
        <is>
          <t>Estimado (mediana de categoría)</t>
        </is>
      </c>
    </row>
    <row r="104" ht="34.5" customHeight="1" s="19">
      <c r="A104" s="24" t="n">
        <v>8246</v>
      </c>
      <c r="B104" s="25" t="inlineStr">
        <is>
          <t>Implementación de Chatbot para E-commerce: Mejora la Experiencia del Usuario y Dispara las Conversiones</t>
        </is>
      </c>
      <c r="C104" s="24" t="inlineStr">
        <is>
          <t>Atención al Cliente</t>
        </is>
      </c>
      <c r="D104" s="25" t="inlineStr">
        <is>
          <t>Implementación de Chatbot para E-commerce: Mejora la experiencia del usuario, aumenta las conversiones y optimiza las operaciones.</t>
        </is>
      </c>
      <c r="E104" s="26" t="n">
        <v>1000</v>
      </c>
      <c r="F104" s="27">
        <f>E104/Config!$B$1</f>
        <v/>
      </c>
      <c r="G104" s="28" t="inlineStr">
        <is>
          <t>Estimado (mediana de categoría)</t>
        </is>
      </c>
    </row>
    <row r="105" ht="34.5" customHeight="1" s="19">
      <c r="A105" s="24" t="n">
        <v>6544</v>
      </c>
      <c r="B105" s="25" t="inlineStr">
        <is>
          <t>Implementación de Chatbot para Ecommerce: Mejora la Experiencia del Usuario y Aumenta las Conversiones</t>
        </is>
      </c>
      <c r="C105" s="24" t="inlineStr">
        <is>
          <t>Atención al Cliente</t>
        </is>
      </c>
      <c r="D105" s="25" t="inlineStr">
        <is>
          <t>Servicio de implementación de chatbot para e-commerce que mejora la experiencia del cliente, aumenta las conversiones y optimiza las operaciones.</t>
        </is>
      </c>
      <c r="E105" s="26" t="n">
        <v>3500</v>
      </c>
      <c r="F105" s="27">
        <f>E105/Config!$B$1</f>
        <v/>
      </c>
      <c r="G105" s="24" t="inlineStr">
        <is>
          <t>Real</t>
        </is>
      </c>
    </row>
    <row r="106" ht="34.5" customHeight="1" s="19">
      <c r="A106" s="24" t="n">
        <v>8384</v>
      </c>
      <c r="B106" s="25" t="inlineStr">
        <is>
          <t>Implementación de Chatbots para E-commerce: Automatizá tu Atención al Cliente y Vendé Más</t>
        </is>
      </c>
      <c r="C106" s="24" t="inlineStr">
        <is>
          <t>Atención al Cliente</t>
        </is>
      </c>
      <c r="D106" s="25" t="inlineStr">
        <is>
          <t>Implementación de Chatbots para E-commerce: Automatizá tu Atención al Cliente y Aumentá tus Ventas</t>
        </is>
      </c>
      <c r="E106" s="26" t="n">
        <v>1000</v>
      </c>
      <c r="F106" s="27">
        <f>E106/Config!$B$1</f>
        <v/>
      </c>
      <c r="G106" s="28" t="inlineStr">
        <is>
          <t>Estimado (mediana de categoría)</t>
        </is>
      </c>
    </row>
    <row r="107" ht="23.25" customHeight="1" s="19">
      <c r="A107" s="24" t="n">
        <v>6683</v>
      </c>
      <c r="B107" s="25" t="inlineStr">
        <is>
          <t>Implementación de Chatbots para Ecommerce: Automatiza tu Atención al Cliente y Aumenta tus Ventas</t>
        </is>
      </c>
      <c r="C107" s="24" t="inlineStr">
        <is>
          <t>Atención al Cliente</t>
        </is>
      </c>
      <c r="D107" s="25" t="inlineStr">
        <is>
          <t>Servicios de implementación de chatbots para e-commerce</t>
        </is>
      </c>
      <c r="E107" s="26" t="n">
        <v>1500</v>
      </c>
      <c r="F107" s="27">
        <f>E107/Config!$B$1</f>
        <v/>
      </c>
      <c r="G107" s="24" t="inlineStr">
        <is>
          <t>Real</t>
        </is>
      </c>
    </row>
    <row r="108" ht="23.25" customHeight="1" s="19">
      <c r="A108" s="24" t="n">
        <v>7662</v>
      </c>
      <c r="B108" s="25" t="inlineStr">
        <is>
          <t>Implementación de Soluciones de Gestión de la Experiencia del Cliente</t>
        </is>
      </c>
      <c r="C108" s="24" t="inlineStr">
        <is>
          <t>Atención al Cliente</t>
        </is>
      </c>
      <c r="D108" s="25" t="inlineStr">
        <is>
          <t>Gestión De La Experiencia Del Cliente</t>
        </is>
      </c>
      <c r="E108" s="26" t="n">
        <v>1000</v>
      </c>
      <c r="F108" s="27">
        <f>E108/Config!$B$1</f>
        <v/>
      </c>
      <c r="G108" s="28" t="inlineStr">
        <is>
          <t>Estimado (mediana de categoría)</t>
        </is>
      </c>
    </row>
    <row r="109" ht="23.25" customHeight="1" s="19">
      <c r="A109" s="24" t="n">
        <v>7722</v>
      </c>
      <c r="B109" s="25" t="inlineStr">
        <is>
          <t>Implementación de Soluciones de Gestión de la Experiencia del Cliente (CX)</t>
        </is>
      </c>
      <c r="C109" s="24" t="inlineStr">
        <is>
          <t>Atención al Cliente</t>
        </is>
      </c>
      <c r="D109" s="25" t="inlineStr">
        <is>
          <t>Gestión De La Experiencia Del Cliente</t>
        </is>
      </c>
      <c r="E109" s="26" t="n">
        <v>1000</v>
      </c>
      <c r="F109" s="27">
        <f>E109/Config!$B$1</f>
        <v/>
      </c>
      <c r="G109" s="28" t="inlineStr">
        <is>
          <t>Estimado (mediana de categoría)</t>
        </is>
      </c>
    </row>
    <row r="110" ht="15" customHeight="1" s="19">
      <c r="A110" s="24" t="n">
        <v>7588</v>
      </c>
      <c r="B110" s="25" t="inlineStr">
        <is>
          <t>Implementación de chatbots inteligentes</t>
        </is>
      </c>
      <c r="C110" s="24" t="inlineStr">
        <is>
          <t>Atención al Cliente</t>
        </is>
      </c>
      <c r="D110" s="25" t="inlineStr">
        <is>
          <t>Chatbots Inteligentes</t>
        </is>
      </c>
      <c r="E110" s="26" t="n">
        <v>630</v>
      </c>
      <c r="F110" s="27">
        <f>E110/Config!$B$1</f>
        <v/>
      </c>
      <c r="G110" s="24" t="inlineStr">
        <is>
          <t>Real</t>
        </is>
      </c>
    </row>
    <row r="111" ht="15" customHeight="1" s="19">
      <c r="A111" s="24" t="n">
        <v>6153</v>
      </c>
      <c r="B111" s="25" t="inlineStr">
        <is>
          <t>Instalación de Software</t>
        </is>
      </c>
      <c r="C111" s="24" t="inlineStr">
        <is>
          <t>Atención al Cliente</t>
        </is>
      </c>
      <c r="D111" s="25" t="inlineStr">
        <is>
          <t>Instalación Y Configuración De Software.</t>
        </is>
      </c>
      <c r="E111" s="26" t="n">
        <v>1500</v>
      </c>
      <c r="F111" s="27">
        <f>E111/Config!$B$1</f>
        <v/>
      </c>
      <c r="G111" s="24" t="inlineStr">
        <is>
          <t>Real</t>
        </is>
      </c>
    </row>
    <row r="112" ht="15" customHeight="1" s="19">
      <c r="A112" s="24" t="n">
        <v>7877</v>
      </c>
      <c r="B112" s="25" t="inlineStr">
        <is>
          <t>Instalación de Software</t>
        </is>
      </c>
      <c r="C112" s="24" t="inlineStr">
        <is>
          <t>Atención al Cliente</t>
        </is>
      </c>
      <c r="D112" s="25" t="inlineStr">
        <is>
          <t>Instalación Y Configuración De Software.</t>
        </is>
      </c>
      <c r="E112" s="26" t="n">
        <v>1000</v>
      </c>
      <c r="F112" s="27">
        <f>E112/Config!$B$1</f>
        <v/>
      </c>
      <c r="G112" s="28" t="inlineStr">
        <is>
          <t>Estimado (mediana de categoría)</t>
        </is>
      </c>
    </row>
    <row r="113" ht="45.75" customHeight="1" s="19">
      <c r="A113" s="24" t="n">
        <v>6668</v>
      </c>
      <c r="B113" s="25" t="inlineStr">
        <is>
          <t>Integración de Chatbots para Ecommerce: Mejora la Experiencia del Cliente</t>
        </is>
      </c>
      <c r="C113" s="24" t="inlineStr">
        <is>
          <t>Atención al Cliente</t>
        </is>
      </c>
      <c r="D113" s="25" t="inlineStr">
        <is>
          <t>Integración de Chatbots para Ecommerce: Mejora la experiencia de compra con asistencia personalizada 24/7, respuestas personalizadas y automatización de tareas.</t>
        </is>
      </c>
      <c r="E113" s="26" t="n">
        <v>1000</v>
      </c>
      <c r="F113" s="27">
        <f>E113/Config!$B$1</f>
        <v/>
      </c>
      <c r="G113" s="24" t="inlineStr">
        <is>
          <t>Real</t>
        </is>
      </c>
    </row>
    <row r="114" ht="45.75" customHeight="1" s="19">
      <c r="A114" s="24" t="n">
        <v>8369</v>
      </c>
      <c r="B114" s="25" t="inlineStr">
        <is>
          <t>Integración de Chatbots para Ecommerce: Mejora tu Experiencia de Compra</t>
        </is>
      </c>
      <c r="C114" s="24" t="inlineStr">
        <is>
          <t>Atención al Cliente</t>
        </is>
      </c>
      <c r="D114" s="25" t="inlineStr">
        <is>
          <t>Integración de Chatbots para Ecommerce: Mejora la experiencia de compra con asistencia personalizada 24/7, respuestas personalizadas y automatización de tareas.</t>
        </is>
      </c>
      <c r="E114" s="26" t="n">
        <v>1000</v>
      </c>
      <c r="F114" s="27">
        <f>E114/Config!$B$1</f>
        <v/>
      </c>
      <c r="G114" s="28" t="inlineStr">
        <is>
          <t>Estimado (mediana de categoría)</t>
        </is>
      </c>
    </row>
    <row r="115" ht="15" customHeight="1" s="19">
      <c r="A115" s="24" t="n">
        <v>6151</v>
      </c>
      <c r="B115" s="25" t="inlineStr">
        <is>
          <t>Mantenimiento de Hardware</t>
        </is>
      </c>
      <c r="C115" s="24" t="inlineStr">
        <is>
          <t>Atención al Cliente</t>
        </is>
      </c>
      <c r="D115" s="25" t="inlineStr">
        <is>
          <t>Mantenimiento De Equipos De Hardware.</t>
        </is>
      </c>
      <c r="E115" s="26" t="n">
        <v>3000</v>
      </c>
      <c r="F115" s="27">
        <f>E115/Config!$B$1</f>
        <v/>
      </c>
      <c r="G115" s="24" t="inlineStr">
        <is>
          <t>Real</t>
        </is>
      </c>
    </row>
    <row r="116" ht="15" customHeight="1" s="19">
      <c r="A116" s="24" t="n">
        <v>7875</v>
      </c>
      <c r="B116" s="25" t="inlineStr">
        <is>
          <t>Mantenimiento de Hardware</t>
        </is>
      </c>
      <c r="C116" s="24" t="inlineStr">
        <is>
          <t>Atención al Cliente</t>
        </is>
      </c>
      <c r="D116" s="25" t="inlineStr">
        <is>
          <t>Mantenimiento De Equipos De Hardware.</t>
        </is>
      </c>
      <c r="E116" s="26" t="n">
        <v>1000</v>
      </c>
      <c r="F116" s="27">
        <f>E116/Config!$B$1</f>
        <v/>
      </c>
      <c r="G116" s="28" t="inlineStr">
        <is>
          <t>Estimado (mediana de categoría)</t>
        </is>
      </c>
    </row>
    <row r="117" ht="15" customHeight="1" s="19">
      <c r="A117" s="24" t="n">
        <v>6150</v>
      </c>
      <c r="B117" s="25" t="inlineStr">
        <is>
          <t>Mantenimiento de Software</t>
        </is>
      </c>
      <c r="C117" s="24" t="inlineStr">
        <is>
          <t>Atención al Cliente</t>
        </is>
      </c>
      <c r="D117" s="25" t="inlineStr">
        <is>
          <t>Mantenimiento Y Actualización De Software.</t>
        </is>
      </c>
      <c r="E117" s="26" t="n">
        <v>2100</v>
      </c>
      <c r="F117" s="27">
        <f>E117/Config!$B$1</f>
        <v/>
      </c>
      <c r="G117" s="24" t="inlineStr">
        <is>
          <t>Real</t>
        </is>
      </c>
    </row>
    <row r="118" ht="15" customHeight="1" s="19">
      <c r="A118" s="24" t="n">
        <v>7874</v>
      </c>
      <c r="B118" s="25" t="inlineStr">
        <is>
          <t>Mantenimiento de Software</t>
        </is>
      </c>
      <c r="C118" s="24" t="inlineStr">
        <is>
          <t>Atención al Cliente</t>
        </is>
      </c>
      <c r="D118" s="25" t="inlineStr">
        <is>
          <t>Mantenimiento Y Actualización De Software.</t>
        </is>
      </c>
      <c r="E118" s="26" t="n">
        <v>1000</v>
      </c>
      <c r="F118" s="27">
        <f>E118/Config!$B$1</f>
        <v/>
      </c>
      <c r="G118" s="28" t="inlineStr">
        <is>
          <t>Estimado (mediana de categoría)</t>
        </is>
      </c>
    </row>
    <row r="119" ht="15" customHeight="1" s="19">
      <c r="A119" s="24" t="n">
        <v>6304</v>
      </c>
      <c r="B119" s="25" t="inlineStr">
        <is>
          <t>Mantenimiento preventivo</t>
        </is>
      </c>
      <c r="C119" s="24" t="inlineStr">
        <is>
          <t>Atención al Cliente</t>
        </is>
      </c>
      <c r="D119" s="25" t="inlineStr">
        <is>
          <t>Revisión Y Mantenimiento Preventivo De Equipos.</t>
        </is>
      </c>
      <c r="E119" s="26" t="n">
        <v>90</v>
      </c>
      <c r="F119" s="27">
        <f>E119/Config!$B$1</f>
        <v/>
      </c>
      <c r="G119" s="24" t="inlineStr">
        <is>
          <t>Real</t>
        </is>
      </c>
    </row>
    <row r="120" ht="15" customHeight="1" s="19">
      <c r="A120" s="24" t="n">
        <v>8016</v>
      </c>
      <c r="B120" s="25" t="inlineStr">
        <is>
          <t>Mantenimiento preventivo</t>
        </is>
      </c>
      <c r="C120" s="24" t="inlineStr">
        <is>
          <t>Atención al Cliente</t>
        </is>
      </c>
      <c r="D120" s="25" t="inlineStr">
        <is>
          <t>Revisión Y Mantenimiento Preventivo De Equipos.</t>
        </is>
      </c>
      <c r="E120" s="26" t="n">
        <v>1000</v>
      </c>
      <c r="F120" s="27">
        <f>E120/Config!$B$1</f>
        <v/>
      </c>
      <c r="G120" s="28" t="inlineStr">
        <is>
          <t>Estimado (mediana de categoría)</t>
        </is>
      </c>
    </row>
    <row r="121" ht="15" customHeight="1" s="19">
      <c r="A121" s="24" t="n">
        <v>6138</v>
      </c>
      <c r="B121" s="25" t="inlineStr">
        <is>
          <t>Mantenimiento y Soporte Técnico Continuo</t>
        </is>
      </c>
      <c r="C121" s="24" t="inlineStr">
        <is>
          <t>Atención al Cliente</t>
        </is>
      </c>
      <c r="D121" s="25" t="inlineStr">
        <is>
          <t>Mantenimiento Técnico</t>
        </is>
      </c>
      <c r="E121" s="26" t="n">
        <v>4500</v>
      </c>
      <c r="F121" s="27">
        <f>E121/Config!$B$1</f>
        <v/>
      </c>
      <c r="G121" s="24" t="inlineStr">
        <is>
          <t>Real</t>
        </is>
      </c>
    </row>
    <row r="122" ht="15" customHeight="1" s="19">
      <c r="A122" s="24" t="n">
        <v>7862</v>
      </c>
      <c r="B122" s="25" t="inlineStr">
        <is>
          <t>Mantenimiento y Soporte Técnico Continuo</t>
        </is>
      </c>
      <c r="C122" s="24" t="inlineStr">
        <is>
          <t>Atención al Cliente</t>
        </is>
      </c>
      <c r="D122" s="25" t="inlineStr">
        <is>
          <t>Mantenimiento Técnico</t>
        </is>
      </c>
      <c r="E122" s="26" t="n">
        <v>1000</v>
      </c>
      <c r="F122" s="27">
        <f>E122/Config!$B$1</f>
        <v/>
      </c>
      <c r="G122" s="28" t="inlineStr">
        <is>
          <t>Estimado (mediana de categoría)</t>
        </is>
      </c>
    </row>
    <row r="123" ht="23.25" customHeight="1" s="19">
      <c r="A123" s="24" t="n">
        <v>6519</v>
      </c>
      <c r="B123" s="25" t="inlineStr">
        <is>
          <t>Mantenimiento y soporte IT</t>
        </is>
      </c>
      <c r="C123" s="24" t="inlineStr">
        <is>
          <t>Atención al Cliente</t>
        </is>
      </c>
      <c r="D123" s="25" t="inlineStr">
        <is>
          <t>Servicios De Mantenimiento Y Soporte Técnico Para Infraestructura Y Sistemas Informáticos.</t>
        </is>
      </c>
      <c r="E123" s="26" t="n">
        <v>1500</v>
      </c>
      <c r="F123" s="27">
        <f>E123/Config!$B$1</f>
        <v/>
      </c>
      <c r="G123" s="24" t="inlineStr">
        <is>
          <t>Real</t>
        </is>
      </c>
    </row>
    <row r="124" ht="23.25" customHeight="1" s="19">
      <c r="A124" s="24" t="n">
        <v>8221</v>
      </c>
      <c r="B124" s="25" t="inlineStr">
        <is>
          <t>Mantenimiento y soporte IT</t>
        </is>
      </c>
      <c r="C124" s="24" t="inlineStr">
        <is>
          <t>Atención al Cliente</t>
        </is>
      </c>
      <c r="D124" s="25" t="inlineStr">
        <is>
          <t>Servicios De Mantenimiento Y Soporte Técnico Para Infraestructura Y Sistemas Informáticos.</t>
        </is>
      </c>
      <c r="E124" s="26" t="n">
        <v>1000</v>
      </c>
      <c r="F124" s="27">
        <f>E124/Config!$B$1</f>
        <v/>
      </c>
      <c r="G124" s="28" t="inlineStr">
        <is>
          <t>Estimado (mediana de categoría)</t>
        </is>
      </c>
    </row>
    <row r="125" ht="15" customHeight="1" s="19">
      <c r="A125" s="24" t="n">
        <v>5951</v>
      </c>
      <c r="B125" s="25" t="inlineStr">
        <is>
          <t>Monitoreo IT</t>
        </is>
      </c>
      <c r="C125" s="24" t="inlineStr">
        <is>
          <t>Atención al Cliente</t>
        </is>
      </c>
      <c r="D125" s="25" t="inlineStr">
        <is>
          <t>Monitoreo It</t>
        </is>
      </c>
      <c r="E125" s="26" t="n">
        <v>1000</v>
      </c>
      <c r="F125" s="27">
        <f>E125/Config!$B$1</f>
        <v/>
      </c>
      <c r="G125" s="28" t="inlineStr">
        <is>
          <t>Estimado (mediana de categoría)</t>
        </is>
      </c>
    </row>
    <row r="126" ht="15" customHeight="1" s="19">
      <c r="A126" s="24" t="n">
        <v>6050</v>
      </c>
      <c r="B126" s="25" t="inlineStr">
        <is>
          <t>Monitoreo de infraestructura</t>
        </is>
      </c>
      <c r="C126" s="24" t="inlineStr">
        <is>
          <t>Atención al Cliente</t>
        </is>
      </c>
      <c r="D126" s="25" t="inlineStr">
        <is>
          <t>Monitoreo It</t>
        </is>
      </c>
      <c r="E126" s="26" t="n">
        <v>1000</v>
      </c>
      <c r="F126" s="27">
        <f>E126/Config!$B$1</f>
        <v/>
      </c>
      <c r="G126" s="28" t="inlineStr">
        <is>
          <t>Estimado (mediana de categoría)</t>
        </is>
      </c>
    </row>
    <row r="127" ht="23.25" customHeight="1" s="19">
      <c r="A127" s="24" t="n">
        <v>6517</v>
      </c>
      <c r="B127" s="25" t="inlineStr">
        <is>
          <t>Montaje de eventos</t>
        </is>
      </c>
      <c r="C127" s="24" t="inlineStr">
        <is>
          <t>Atención al Cliente</t>
        </is>
      </c>
      <c r="D127" s="25" t="inlineStr">
        <is>
          <t>Servicio Integral De Montaje Y Producción Técnica De Eventos Corporativos O Sociales.</t>
        </is>
      </c>
      <c r="E127" s="26" t="n">
        <v>2500</v>
      </c>
      <c r="F127" s="27">
        <f>E127/Config!$B$1</f>
        <v/>
      </c>
      <c r="G127" s="24" t="inlineStr">
        <is>
          <t>Real</t>
        </is>
      </c>
    </row>
    <row r="128" ht="15" customHeight="1" s="19">
      <c r="A128" s="24" t="n">
        <v>6213</v>
      </c>
      <c r="B128" s="25" t="inlineStr">
        <is>
          <t>Optimización de Estrategias de Servicio al Cliente</t>
        </is>
      </c>
      <c r="C128" s="24" t="inlineStr">
        <is>
          <t>Atención al Cliente</t>
        </is>
      </c>
      <c r="D128" s="25" t="inlineStr">
        <is>
          <t>Optimización De Servicio</t>
        </is>
      </c>
      <c r="E128" s="26" t="n">
        <v>240</v>
      </c>
      <c r="F128" s="27">
        <f>E128/Config!$B$1</f>
        <v/>
      </c>
      <c r="G128" s="24" t="inlineStr">
        <is>
          <t>Real</t>
        </is>
      </c>
    </row>
    <row r="129" ht="15" customHeight="1" s="19">
      <c r="A129" s="24" t="n">
        <v>7937</v>
      </c>
      <c r="B129" s="25" t="inlineStr">
        <is>
          <t>Optimización de Estrategias de Servicio al Cliente</t>
        </is>
      </c>
      <c r="C129" s="24" t="inlineStr">
        <is>
          <t>Atención al Cliente</t>
        </is>
      </c>
      <c r="D129" s="25" t="inlineStr">
        <is>
          <t>Optimización De Servicio</t>
        </is>
      </c>
      <c r="E129" s="26" t="n">
        <v>1000</v>
      </c>
      <c r="F129" s="27">
        <f>E129/Config!$B$1</f>
        <v/>
      </c>
      <c r="G129" s="28" t="inlineStr">
        <is>
          <t>Estimado (mediana de categoría)</t>
        </is>
      </c>
    </row>
    <row r="130" ht="23.25" customHeight="1" s="19">
      <c r="A130" s="24" t="n">
        <v>6474</v>
      </c>
      <c r="B130" s="25" t="inlineStr">
        <is>
          <t>Organización de eventos</t>
        </is>
      </c>
      <c r="C130" s="24" t="inlineStr">
        <is>
          <t>Atención al Cliente</t>
        </is>
      </c>
      <c r="D130" s="25" t="inlineStr">
        <is>
          <t>Servicio De Organización Y Producción De Eventos A Medida.</t>
        </is>
      </c>
      <c r="E130" s="26" t="n">
        <v>5000</v>
      </c>
      <c r="F130" s="27">
        <f>E130/Config!$B$1</f>
        <v/>
      </c>
      <c r="G130" s="24" t="inlineStr">
        <is>
          <t>Real</t>
        </is>
      </c>
    </row>
    <row r="131" ht="15" customHeight="1" s="19">
      <c r="A131" s="24" t="n">
        <v>6307</v>
      </c>
      <c r="B131" s="25" t="inlineStr">
        <is>
          <t>Personalización</t>
        </is>
      </c>
      <c r="C131" s="24" t="inlineStr">
        <is>
          <t>Atención al Cliente</t>
        </is>
      </c>
      <c r="D131" s="25" t="inlineStr">
        <is>
          <t>Personalización De Soluciones A Medida.</t>
        </is>
      </c>
      <c r="E131" s="26" t="n">
        <v>180</v>
      </c>
      <c r="F131" s="27">
        <f>E131/Config!$B$1</f>
        <v/>
      </c>
      <c r="G131" s="24" t="inlineStr">
        <is>
          <t>Real</t>
        </is>
      </c>
    </row>
    <row r="132" ht="15" customHeight="1" s="19">
      <c r="A132" s="24" t="n">
        <v>7790</v>
      </c>
      <c r="B132" s="25" t="inlineStr">
        <is>
          <t>Personalización de Experiencia del Cliente</t>
        </is>
      </c>
      <c r="C132" s="24" t="inlineStr">
        <is>
          <t>Atención al Cliente</t>
        </is>
      </c>
      <c r="D132" s="25" t="inlineStr">
        <is>
          <t>Personalización De Ofertas Y Comunicación.</t>
        </is>
      </c>
      <c r="E132" s="26" t="n">
        <v>1000</v>
      </c>
      <c r="F132" s="27">
        <f>E132/Config!$B$1</f>
        <v/>
      </c>
      <c r="G132" s="28" t="inlineStr">
        <is>
          <t>Estimado (mediana de categoría)</t>
        </is>
      </c>
    </row>
    <row r="133" ht="15" customHeight="1" s="19">
      <c r="A133" s="24" t="n">
        <v>6190</v>
      </c>
      <c r="B133" s="25" t="inlineStr">
        <is>
          <t>Plataforma de Chatbots y Asistentes Virtuales</t>
        </is>
      </c>
      <c r="C133" s="24" t="inlineStr">
        <is>
          <t>Atención al Cliente</t>
        </is>
      </c>
      <c r="D133" s="25" t="inlineStr">
        <is>
          <t>Chatbots Y Asistentes Virtuales</t>
        </is>
      </c>
      <c r="E133" s="26" t="n">
        <v>190</v>
      </c>
      <c r="F133" s="27">
        <f>E133/Config!$B$1</f>
        <v/>
      </c>
      <c r="G133" s="24" t="inlineStr">
        <is>
          <t>Real</t>
        </is>
      </c>
    </row>
    <row r="134" ht="15" customHeight="1" s="19">
      <c r="A134" s="24" t="n">
        <v>7914</v>
      </c>
      <c r="B134" s="25" t="inlineStr">
        <is>
          <t>Plataforma de Chatbots y Asistentes Virtuales</t>
        </is>
      </c>
      <c r="C134" s="24" t="inlineStr">
        <is>
          <t>Atención al Cliente</t>
        </is>
      </c>
      <c r="D134" s="25" t="inlineStr">
        <is>
          <t>Chatbots Y Asistentes Virtuales</t>
        </is>
      </c>
      <c r="E134" s="26" t="n">
        <v>1000</v>
      </c>
      <c r="F134" s="27">
        <f>E134/Config!$B$1</f>
        <v/>
      </c>
      <c r="G134" s="28" t="inlineStr">
        <is>
          <t>Estimado (mediana de categoría)</t>
        </is>
      </c>
    </row>
    <row r="135" ht="15" customHeight="1" s="19">
      <c r="A135" s="24" t="n">
        <v>6233</v>
      </c>
      <c r="B135" s="25" t="inlineStr">
        <is>
          <t>Plataforma de Gestión de Reclamos y Servicio al Cliente</t>
        </is>
      </c>
      <c r="C135" s="24" t="inlineStr">
        <is>
          <t>Atención al Cliente</t>
        </is>
      </c>
      <c r="D135" s="25" t="inlineStr">
        <is>
          <t>Gestión Eficiente De Reclamos</t>
        </is>
      </c>
      <c r="E135" s="26" t="n">
        <v>380</v>
      </c>
      <c r="F135" s="27">
        <f>E135/Config!$B$1</f>
        <v/>
      </c>
      <c r="G135" s="24" t="inlineStr">
        <is>
          <t>Real</t>
        </is>
      </c>
    </row>
    <row r="136" ht="15" customHeight="1" s="19">
      <c r="A136" s="24" t="n">
        <v>7957</v>
      </c>
      <c r="B136" s="25" t="inlineStr">
        <is>
          <t>Plataforma de Gestión de Reclamos y Servicio al Cliente</t>
        </is>
      </c>
      <c r="C136" s="24" t="inlineStr">
        <is>
          <t>Atención al Cliente</t>
        </is>
      </c>
      <c r="D136" s="25" t="inlineStr">
        <is>
          <t>Gestión Eficiente De Reclamos</t>
        </is>
      </c>
      <c r="E136" s="26" t="n">
        <v>1000</v>
      </c>
      <c r="F136" s="27">
        <f>E136/Config!$B$1</f>
        <v/>
      </c>
      <c r="G136" s="28" t="inlineStr">
        <is>
          <t>Estimado (mediana de categoría)</t>
        </is>
      </c>
    </row>
    <row r="137" ht="23.25" customHeight="1" s="19">
      <c r="A137" s="24" t="n">
        <v>6311</v>
      </c>
      <c r="B137" s="25" t="inlineStr">
        <is>
          <t>Respaldo y recuperación</t>
        </is>
      </c>
      <c r="C137" s="24" t="inlineStr">
        <is>
          <t>Atención al Cliente</t>
        </is>
      </c>
      <c r="D137" s="25" t="inlineStr">
        <is>
          <t>Servicios De Respaldo Y Recuperación De Información.</t>
        </is>
      </c>
      <c r="E137" s="26" t="n">
        <v>135</v>
      </c>
      <c r="F137" s="27">
        <f>E137/Config!$B$1</f>
        <v/>
      </c>
      <c r="G137" s="24" t="inlineStr">
        <is>
          <t>Real</t>
        </is>
      </c>
    </row>
    <row r="138" ht="23.25" customHeight="1" s="19">
      <c r="A138" s="24" t="n">
        <v>6662</v>
      </c>
      <c r="B138" s="25" t="inlineStr">
        <is>
          <t>Servicio de Atención al Cliente para Ecommerce: Mejora la Experiencia de Compra y Satisfacción del Cliente</t>
        </is>
      </c>
      <c r="C138" s="24" t="inlineStr">
        <is>
          <t>Atención al Cliente</t>
        </is>
      </c>
      <c r="D138" s="25" t="inlineStr">
        <is>
          <t>Servicio de Atención al Cliente para Ecommerce: Soluciones para potenciar tu negocio online.</t>
        </is>
      </c>
      <c r="E138" s="26" t="n">
        <v>800</v>
      </c>
      <c r="F138" s="27">
        <f>E138/Config!$B$1</f>
        <v/>
      </c>
      <c r="G138" s="24" t="inlineStr">
        <is>
          <t>Real</t>
        </is>
      </c>
    </row>
    <row r="139" ht="34.5" customHeight="1" s="19">
      <c r="A139" s="24" t="n">
        <v>8363</v>
      </c>
      <c r="B139" s="25" t="inlineStr">
        <is>
          <t>Servicio de Atención al Cliente para Ecommerce: Potenciá tu Negocio Online con Experiencias de Compra Excepcionales</t>
        </is>
      </c>
      <c r="C139" s="24" t="inlineStr">
        <is>
          <t>Atención al Cliente</t>
        </is>
      </c>
      <c r="D139" s="25" t="inlineStr">
        <is>
          <t>Servicio de Atención al Cliente para Ecommerce: Soluciones para potenciar tu negocio online.</t>
        </is>
      </c>
      <c r="E139" s="26" t="n">
        <v>1000</v>
      </c>
      <c r="F139" s="27">
        <f>E139/Config!$B$1</f>
        <v/>
      </c>
      <c r="G139" s="28" t="inlineStr">
        <is>
          <t>Estimado (mediana de categoría)</t>
        </is>
      </c>
    </row>
    <row r="140" ht="34.5" customHeight="1" s="19">
      <c r="A140" s="24" t="n">
        <v>6558</v>
      </c>
      <c r="B140" s="25" t="inlineStr">
        <is>
          <t>Servicio de Chatbot: Automatiza tu atención al cliente y mejora la experiencia del usuario</t>
        </is>
      </c>
      <c r="C140" s="24" t="inlineStr">
        <is>
          <t>Atención al Cliente</t>
        </is>
      </c>
      <c r="D140" s="25" t="inlineStr">
        <is>
          <t>Servicio de Implementación de Chatbot para Ecommerce: Mejora la experiencia del cliente, aumenta las conversiones y reduce costos.</t>
        </is>
      </c>
      <c r="E140" s="26" t="n">
        <v>1500</v>
      </c>
      <c r="F140" s="27">
        <f>E140/Config!$B$1</f>
        <v/>
      </c>
      <c r="G140" s="24" t="inlineStr">
        <is>
          <t>Real</t>
        </is>
      </c>
    </row>
    <row r="141" ht="34.5" customHeight="1" s="19">
      <c r="A141" s="24" t="n">
        <v>8260</v>
      </c>
      <c r="B141" s="25" t="inlineStr">
        <is>
          <t>Servicio de Chatbot: Automatiza tu atención al cliente y mejora la experiencia del usuario</t>
        </is>
      </c>
      <c r="C141" s="24" t="inlineStr">
        <is>
          <t>Atención al Cliente</t>
        </is>
      </c>
      <c r="D141" s="25" t="inlineStr">
        <is>
          <t>Servicio de implementación de chatbot para e-commerce: mejora la experiencia del cliente, aumenta las conversiones y reduce costos.</t>
        </is>
      </c>
      <c r="E141" s="26" t="n">
        <v>1000</v>
      </c>
      <c r="F141" s="27">
        <f>E141/Config!$B$1</f>
        <v/>
      </c>
      <c r="G141" s="28" t="inlineStr">
        <is>
          <t>Estimado (mediana de categoría)</t>
        </is>
      </c>
    </row>
    <row r="142" ht="34.5" customHeight="1" s="19">
      <c r="A142" s="24" t="n">
        <v>8290</v>
      </c>
      <c r="B142" s="25" t="inlineStr">
        <is>
          <t>Servicio de Desarrollo de Chatbot para Atención al Cliente: Mejora la Experiencia, Reduce Tiempos de Respuesta</t>
        </is>
      </c>
      <c r="C142" s="24" t="inlineStr">
        <is>
          <t>Atención al Cliente</t>
        </is>
      </c>
      <c r="D142" s="25" t="inlineStr">
        <is>
          <t>Servicio de Desarrollo de Chatbot para Atención al Cliente: Mejora la atención, reduce tiempos de respuesta</t>
        </is>
      </c>
      <c r="E142" s="26" t="n">
        <v>1000</v>
      </c>
      <c r="F142" s="27">
        <f>E142/Config!$B$1</f>
        <v/>
      </c>
      <c r="G142" s="28" t="inlineStr">
        <is>
          <t>Estimado (mediana de categoría)</t>
        </is>
      </c>
    </row>
    <row r="143" ht="45.75" customHeight="1" s="19">
      <c r="A143" s="24" t="n">
        <v>6588</v>
      </c>
      <c r="B143" s="25" t="inlineStr">
        <is>
          <t>Servicio de Desarrollo de Chatbot para Soporte al Cliente: Mejora la Atención, Reduce Tiempos de Respuesta</t>
        </is>
      </c>
      <c r="C143" s="24" t="inlineStr">
        <is>
          <t>Atención al Cliente</t>
        </is>
      </c>
      <c r="D143" s="25" t="inlineStr">
        <is>
          <t>Servicio de Desarrollo de Chatbot de Soporte al Cliente para Ecommerce: Mejora la experiencia del cliente, reduce costos y aumenta las ventas con nuestra solución innovadora.</t>
        </is>
      </c>
      <c r="E143" s="26" t="n">
        <v>4500</v>
      </c>
      <c r="F143" s="27">
        <f>E143/Config!$B$1</f>
        <v/>
      </c>
      <c r="G143" s="24" t="inlineStr">
        <is>
          <t>Real</t>
        </is>
      </c>
    </row>
    <row r="144" ht="23.25" customHeight="1" s="19">
      <c r="A144" s="24" t="n">
        <v>6594</v>
      </c>
      <c r="B144" s="25" t="inlineStr">
        <is>
          <t>Servicio de Gestión de Reseñas y Opiniones</t>
        </is>
      </c>
      <c r="C144" s="24" t="inlineStr">
        <is>
          <t>Atención al Cliente</t>
        </is>
      </c>
      <c r="D144" s="25" t="inlineStr">
        <is>
          <t>Servicio De Gestión De Reseñas Y Opiniones Para Ecommerce.</t>
        </is>
      </c>
      <c r="E144" s="26" t="n">
        <v>2500</v>
      </c>
      <c r="F144" s="27">
        <f>E144/Config!$B$1</f>
        <v/>
      </c>
      <c r="G144" s="24" t="inlineStr">
        <is>
          <t>Real</t>
        </is>
      </c>
    </row>
    <row r="145" ht="68.25" customHeight="1" s="19">
      <c r="A145" s="24" t="n">
        <v>8296</v>
      </c>
      <c r="B145" s="25" t="inlineStr">
        <is>
          <t>Servicio de Gestión de Reseñas y Opiniones: Mejora la Confianza y Optimiza tu E-commerce</t>
        </is>
      </c>
      <c r="C145" s="24" t="inlineStr">
        <is>
          <t>Atención al Cliente</t>
        </is>
      </c>
      <c r="D145" s="25" t="inlineStr">
        <is>
          <t>Servicio de Gestión de Reseñas y Opiniones para Ecommerce: recopila, modera, analiza y responde a reseñas para aumentar la confianza, mejorar la experiencia del cliente, optimizar productos y servicios, impulsar las ventas y obtener una ventaja competitiva.</t>
        </is>
      </c>
      <c r="E145" s="26" t="n">
        <v>1000</v>
      </c>
      <c r="F145" s="27">
        <f>E145/Config!$B$1</f>
        <v/>
      </c>
      <c r="G145" s="28" t="inlineStr">
        <is>
          <t>Estimado (mediana de categoría)</t>
        </is>
      </c>
    </row>
    <row r="146" ht="23.25" customHeight="1" s="19">
      <c r="A146" s="24" t="n">
        <v>6580</v>
      </c>
      <c r="B146" s="25" t="inlineStr">
        <is>
          <t>Servicio de Implementación de Chatbot para Ecommerce</t>
        </is>
      </c>
      <c r="C146" s="24" t="inlineStr">
        <is>
          <t>Atención al Cliente</t>
        </is>
      </c>
      <c r="D146" s="25" t="inlineStr">
        <is>
          <t>Servicio De Implementación De Chatbot Para Ecommerce.</t>
        </is>
      </c>
      <c r="E146" s="26" t="n">
        <v>3000</v>
      </c>
      <c r="F146" s="27">
        <f>E146/Config!$B$1</f>
        <v/>
      </c>
      <c r="G146" s="24" t="inlineStr">
        <is>
          <t>Real</t>
        </is>
      </c>
    </row>
    <row r="147" ht="34.5" customHeight="1" s="19">
      <c r="A147" s="24" t="n">
        <v>8282</v>
      </c>
      <c r="B147" s="25" t="inlineStr">
        <is>
          <t>Servicio de Implementación de Chatbot para Ecommerce: Mejora la Experiencia del Cliente y Automatiza las Consultas</t>
        </is>
      </c>
      <c r="C147" s="24" t="inlineStr">
        <is>
          <t>Atención al Cliente</t>
        </is>
      </c>
      <c r="D147" s="25" t="inlineStr">
        <is>
          <t>Servicio de Implementación de Chatbot para Ecommerce: Mejora la experiencia del cliente, aumenta las ventas y optimiza las operaciones.</t>
        </is>
      </c>
      <c r="E147" s="26" t="n">
        <v>1000</v>
      </c>
      <c r="F147" s="27">
        <f>E147/Config!$B$1</f>
        <v/>
      </c>
      <c r="G147" s="28" t="inlineStr">
        <is>
          <t>Estimado (mediana de categoría)</t>
        </is>
      </c>
    </row>
    <row r="148" ht="15" customHeight="1" s="19">
      <c r="A148" s="24" t="n">
        <v>7021</v>
      </c>
      <c r="B148" s="25" t="inlineStr">
        <is>
          <t>Servicio de Traducción Técnica</t>
        </is>
      </c>
      <c r="C148" s="24" t="inlineStr">
        <is>
          <t>Atención al Cliente</t>
        </is>
      </c>
      <c r="D148" s="25" t="inlineStr">
        <is>
          <t>Traducción Técnica</t>
        </is>
      </c>
      <c r="E148" s="26" t="n">
        <v>550</v>
      </c>
      <c r="F148" s="27">
        <f>E148/Config!$B$1</f>
        <v/>
      </c>
      <c r="G148" s="24" t="inlineStr">
        <is>
          <t>Real</t>
        </is>
      </c>
    </row>
    <row r="149" ht="15" customHeight="1" s="19">
      <c r="A149" s="24" t="n">
        <v>7018</v>
      </c>
      <c r="B149" s="25" t="inlineStr">
        <is>
          <t>Servicio de Traducción de Documentos</t>
        </is>
      </c>
      <c r="C149" s="24" t="inlineStr">
        <is>
          <t>Atención al Cliente</t>
        </is>
      </c>
      <c r="D149" s="25" t="inlineStr">
        <is>
          <t>Traducción De Documentos</t>
        </is>
      </c>
      <c r="E149" s="26" t="n">
        <v>270</v>
      </c>
      <c r="F149" s="27">
        <f>E149/Config!$B$1</f>
        <v/>
      </c>
      <c r="G149" s="24" t="inlineStr">
        <is>
          <t>Real</t>
        </is>
      </c>
    </row>
    <row r="150" ht="15" customHeight="1" s="19">
      <c r="A150" s="24" t="n">
        <v>7019</v>
      </c>
      <c r="B150" s="25" t="inlineStr">
        <is>
          <t>Servicio de Transcripción de Audio</t>
        </is>
      </c>
      <c r="C150" s="24" t="inlineStr">
        <is>
          <t>Atención al Cliente</t>
        </is>
      </c>
      <c r="D150" s="25" t="inlineStr">
        <is>
          <t>Transcripción De Audio</t>
        </is>
      </c>
      <c r="E150" s="26" t="n">
        <v>270</v>
      </c>
      <c r="F150" s="27">
        <f>E150/Config!$B$1</f>
        <v/>
      </c>
      <c r="G150" s="24" t="inlineStr">
        <is>
          <t>Real</t>
        </is>
      </c>
    </row>
    <row r="151" ht="15" customHeight="1" s="19">
      <c r="A151" s="24" t="n">
        <v>6473</v>
      </c>
      <c r="B151" s="25" t="inlineStr">
        <is>
          <t>Servicio de catering</t>
        </is>
      </c>
      <c r="C151" s="24" t="inlineStr">
        <is>
          <t>Atención al Cliente</t>
        </is>
      </c>
      <c r="D151" s="25" t="inlineStr">
        <is>
          <t>Servicio De Catering Para Eventos Y Reuniones.</t>
        </is>
      </c>
      <c r="E151" s="26" t="n">
        <v>25</v>
      </c>
      <c r="F151" s="27">
        <f>E151/Config!$B$1</f>
        <v/>
      </c>
      <c r="G151" s="24" t="inlineStr">
        <is>
          <t>Real</t>
        </is>
      </c>
    </row>
    <row r="152" ht="15" customHeight="1" s="19">
      <c r="A152" s="24" t="n">
        <v>6479</v>
      </c>
      <c r="B152" s="25" t="inlineStr">
        <is>
          <t>Servicio de traducción</t>
        </is>
      </c>
      <c r="C152" s="24" t="inlineStr">
        <is>
          <t>Atención al Cliente</t>
        </is>
      </c>
      <c r="D152" s="25" t="inlineStr">
        <is>
          <t>Traducción De Contenido A Múltiples Idiomas.</t>
        </is>
      </c>
      <c r="E152" s="26" t="n">
        <v>600</v>
      </c>
      <c r="F152" s="27">
        <f>E152/Config!$B$1</f>
        <v/>
      </c>
      <c r="G152" s="24" t="inlineStr">
        <is>
          <t>Real</t>
        </is>
      </c>
    </row>
    <row r="153" ht="15" customHeight="1" s="19">
      <c r="A153" s="24" t="n">
        <v>6692</v>
      </c>
      <c r="B153" s="25" t="inlineStr">
        <is>
          <t>Servicios de Asistencia Virtual Ecommerce</t>
        </is>
      </c>
      <c r="C153" s="24" t="inlineStr">
        <is>
          <t>Atención al Cliente</t>
        </is>
      </c>
      <c r="D153" s="25" t="inlineStr">
        <is>
          <t>Soluciones De Asistencia Virtual Para Ecommerce.</t>
        </is>
      </c>
      <c r="E153" s="26" t="n">
        <v>2000</v>
      </c>
      <c r="F153" s="27">
        <f>E153/Config!$B$1</f>
        <v/>
      </c>
      <c r="G153" s="24" t="inlineStr">
        <is>
          <t>Real</t>
        </is>
      </c>
    </row>
    <row r="154" ht="34.5" customHeight="1" s="19">
      <c r="A154" s="24" t="n">
        <v>8393</v>
      </c>
      <c r="B154" s="25" t="inlineStr">
        <is>
          <t>Servicios de Asistencia Virtual para Ecommerce: Automatizá tu Atención al Cliente y Mejorá la Experiencia del Usuario</t>
        </is>
      </c>
      <c r="C154" s="24" t="inlineStr">
        <is>
          <t>Atención al Cliente</t>
        </is>
      </c>
      <c r="D154" s="25" t="inlineStr">
        <is>
          <t>Servicios de Asistencia Virtual para Ecommerce: Automatizá tu Atención al Cliente y Mejorá la Experiencia de Usuario</t>
        </is>
      </c>
      <c r="E154" s="26" t="n">
        <v>1000</v>
      </c>
      <c r="F154" s="27">
        <f>E154/Config!$B$1</f>
        <v/>
      </c>
      <c r="G154" s="28" t="inlineStr">
        <is>
          <t>Estimado (mediana de categoría)</t>
        </is>
      </c>
    </row>
    <row r="155" ht="15" customHeight="1" s="19">
      <c r="A155" s="24" t="n">
        <v>6680</v>
      </c>
      <c r="B155" s="25" t="inlineStr">
        <is>
          <t>Servicios de Atención al Cliente Ecommerce</t>
        </is>
      </c>
      <c r="C155" s="24" t="inlineStr">
        <is>
          <t>Atención al Cliente</t>
        </is>
      </c>
      <c r="D155" s="25" t="inlineStr">
        <is>
          <t>Soluciones De Atención Al Cliente Para Ecommerce.</t>
        </is>
      </c>
      <c r="E155" s="26" t="n">
        <v>800</v>
      </c>
      <c r="F155" s="27">
        <f>E155/Config!$B$1</f>
        <v/>
      </c>
      <c r="G155" s="24" t="inlineStr">
        <is>
          <t>Real</t>
        </is>
      </c>
    </row>
    <row r="156" ht="34.5" customHeight="1" s="19">
      <c r="A156" s="24" t="n">
        <v>8381</v>
      </c>
      <c r="B156" s="25" t="inlineStr">
        <is>
          <t>Servicios de Atención al Cliente para Ecommerce: Soluciones para una Experiencia de Compra Excepcional</t>
        </is>
      </c>
      <c r="C156" s="24" t="inlineStr">
        <is>
          <t>Atención al Cliente</t>
        </is>
      </c>
      <c r="D156" s="25" t="inlineStr">
        <is>
          <t>Servicios de Atención al Cliente para Ecommerce: La clave para el éxito en el comercio electrónico.</t>
        </is>
      </c>
      <c r="E156" s="26" t="n">
        <v>1000</v>
      </c>
      <c r="F156" s="27">
        <f>E156/Config!$B$1</f>
        <v/>
      </c>
      <c r="G156" s="28" t="inlineStr">
        <is>
          <t>Estimado (mediana de categoría)</t>
        </is>
      </c>
    </row>
    <row r="157" ht="23.25" customHeight="1" s="19">
      <c r="A157" s="24" t="n">
        <v>6707</v>
      </c>
      <c r="B157" s="25" t="inlineStr">
        <is>
          <t>Servicios de Desarrollo de Chatbots Ecommerce</t>
        </is>
      </c>
      <c r="C157" s="24" t="inlineStr">
        <is>
          <t>Atención al Cliente</t>
        </is>
      </c>
      <c r="D157" s="25" t="inlineStr">
        <is>
          <t>Servicios De Desarrollo De Chatbots Para Ecommerce.</t>
        </is>
      </c>
      <c r="E157" s="26" t="n">
        <v>3000</v>
      </c>
      <c r="F157" s="27">
        <f>E157/Config!$B$1</f>
        <v/>
      </c>
      <c r="G157" s="24" t="inlineStr">
        <is>
          <t>Real</t>
        </is>
      </c>
    </row>
    <row r="158" ht="15" customHeight="1" s="19">
      <c r="A158" s="24" t="n">
        <v>6096</v>
      </c>
      <c r="B158" s="25" t="inlineStr">
        <is>
          <t>Servicios de Mantenimiento de Software</t>
        </is>
      </c>
      <c r="C158" s="24" t="inlineStr">
        <is>
          <t>Atención al Cliente</t>
        </is>
      </c>
      <c r="D158" s="25" t="inlineStr">
        <is>
          <t>Mantenimiento De Software</t>
        </is>
      </c>
      <c r="E158" s="26" t="n">
        <v>4000</v>
      </c>
      <c r="F158" s="27">
        <f>E158/Config!$B$1</f>
        <v/>
      </c>
      <c r="G158" s="24" t="inlineStr">
        <is>
          <t>Real</t>
        </is>
      </c>
    </row>
    <row r="159" ht="15" customHeight="1" s="19">
      <c r="A159" s="24" t="n">
        <v>7820</v>
      </c>
      <c r="B159" s="25" t="inlineStr">
        <is>
          <t>Servicios de Mantenimiento de Software</t>
        </is>
      </c>
      <c r="C159" s="24" t="inlineStr">
        <is>
          <t>Atención al Cliente</t>
        </is>
      </c>
      <c r="D159" s="25" t="inlineStr">
        <is>
          <t>Mantenimiento De Software</t>
        </is>
      </c>
      <c r="E159" s="26" t="n">
        <v>1000</v>
      </c>
      <c r="F159" s="27">
        <f>E159/Config!$B$1</f>
        <v/>
      </c>
      <c r="G159" s="28" t="inlineStr">
        <is>
          <t>Estimado (mediana de categoría)</t>
        </is>
      </c>
    </row>
    <row r="160" ht="34.5" customHeight="1" s="19">
      <c r="A160" s="24" t="n">
        <v>6404</v>
      </c>
      <c r="B160" s="25" t="inlineStr">
        <is>
          <t>Servicios de auditoría y aseguramiento de calidad de software</t>
        </is>
      </c>
      <c r="C160" s="24" t="inlineStr">
        <is>
          <t>Atención al Cliente</t>
        </is>
      </c>
      <c r="D160" s="25" t="inlineStr">
        <is>
          <t>Servicios De Pruebas, Validación Y Aseguramiento De La Calidad En Proyectos De Desarrollo De Software.</t>
        </is>
      </c>
      <c r="E160" s="26" t="n">
        <v>14400</v>
      </c>
      <c r="F160" s="27">
        <f>E160/Config!$B$1</f>
        <v/>
      </c>
      <c r="G160" s="24" t="inlineStr">
        <is>
          <t>Real</t>
        </is>
      </c>
    </row>
    <row r="161" ht="34.5" customHeight="1" s="19">
      <c r="A161" s="24" t="n">
        <v>6361</v>
      </c>
      <c r="B161" s="25" t="inlineStr">
        <is>
          <t>Servicios de auditoría y cumplimiento normativo</t>
        </is>
      </c>
      <c r="C161" s="24" t="inlineStr">
        <is>
          <t>Atención al Cliente</t>
        </is>
      </c>
      <c r="D161" s="25" t="inlineStr">
        <is>
          <t>Servicios De Consultoría Y Auditoría Para Garantizar El Cumplimiento De Requisitos Legales Y Normativos.</t>
        </is>
      </c>
      <c r="E161" s="26" t="n">
        <v>10800</v>
      </c>
      <c r="F161" s="27">
        <f>E161/Config!$B$1</f>
        <v/>
      </c>
      <c r="G161" s="24" t="inlineStr">
        <is>
          <t>Real</t>
        </is>
      </c>
    </row>
    <row r="162" ht="34.5" customHeight="1" s="19">
      <c r="A162" s="24" t="n">
        <v>6392</v>
      </c>
      <c r="B162" s="25" t="inlineStr">
        <is>
          <t>Servicios de desarrollo de chatbots y asistentes virtuales</t>
        </is>
      </c>
      <c r="C162" s="24" t="inlineStr">
        <is>
          <t>Atención al Cliente</t>
        </is>
      </c>
      <c r="D162" s="25" t="inlineStr">
        <is>
          <t>Servicios De Creación De Soluciones De Automatización De Atención Al Cliente Y Asistencia Virtual.</t>
        </is>
      </c>
      <c r="E162" s="26" t="n">
        <v>13500</v>
      </c>
      <c r="F162" s="27">
        <f>E162/Config!$B$1</f>
        <v/>
      </c>
      <c r="G162" s="24" t="inlineStr">
        <is>
          <t>Real</t>
        </is>
      </c>
    </row>
    <row r="163" ht="34.5" customHeight="1" s="19">
      <c r="A163" s="24" t="n">
        <v>8103</v>
      </c>
      <c r="B163" s="25" t="inlineStr">
        <is>
          <t>Servicios de desarrollo de chatbots y asistentes virtuales</t>
        </is>
      </c>
      <c r="C163" s="24" t="inlineStr">
        <is>
          <t>Atención al Cliente</t>
        </is>
      </c>
      <c r="D163" s="25" t="inlineStr">
        <is>
          <t>Servicios De Creación De Soluciones De Automatización De Atención Al Cliente Y Asistencia Virtual.</t>
        </is>
      </c>
      <c r="E163" s="26" t="n">
        <v>1000</v>
      </c>
      <c r="F163" s="27">
        <f>E163/Config!$B$1</f>
        <v/>
      </c>
      <c r="G163" s="28" t="inlineStr">
        <is>
          <t>Estimado (mediana de categoría)</t>
        </is>
      </c>
    </row>
    <row r="164" ht="23.25" customHeight="1" s="19">
      <c r="A164" s="24" t="n">
        <v>5975</v>
      </c>
      <c r="B164" s="25" t="inlineStr">
        <is>
          <t>Servicios de diseño y desarrollo de chatbots y asistentes virtuales</t>
        </is>
      </c>
      <c r="C164" s="24" t="inlineStr">
        <is>
          <t>Atención al Cliente</t>
        </is>
      </c>
      <c r="D164" s="25" t="inlineStr">
        <is>
          <t>Diseño Y Desarrollo De Chatbots Y Asistentes Virtuales</t>
        </is>
      </c>
      <c r="E164" s="26" t="n">
        <v>6300</v>
      </c>
      <c r="F164" s="27">
        <f>E164/Config!$B$1</f>
        <v/>
      </c>
      <c r="G164" s="24" t="inlineStr">
        <is>
          <t>Real</t>
        </is>
      </c>
    </row>
    <row r="165" ht="23.25" customHeight="1" s="19">
      <c r="A165" s="24" t="n">
        <v>7738</v>
      </c>
      <c r="B165" s="25" t="inlineStr">
        <is>
          <t>Servicios de diseño y desarrollo de chatbots y asistentes virtuales</t>
        </is>
      </c>
      <c r="C165" s="24" t="inlineStr">
        <is>
          <t>Atención al Cliente</t>
        </is>
      </c>
      <c r="D165" s="25" t="inlineStr">
        <is>
          <t>Diseño Y Desarrollo De Chatbots Y Asistentes Virtuales</t>
        </is>
      </c>
      <c r="E165" s="26" t="n">
        <v>1000</v>
      </c>
      <c r="F165" s="27">
        <f>E165/Config!$B$1</f>
        <v/>
      </c>
      <c r="G165" s="28" t="inlineStr">
        <is>
          <t>Estimado (mediana de categoría)</t>
        </is>
      </c>
    </row>
    <row r="166" ht="34.5" customHeight="1" s="19">
      <c r="A166" s="24" t="n">
        <v>6010</v>
      </c>
      <c r="B166" s="25" t="inlineStr">
        <is>
          <t>Servicios de diseño y desarrollo de chatbots y asistentes virtuales con capacidades de procesamiento de lenguaje natural</t>
        </is>
      </c>
      <c r="C166" s="24" t="inlineStr">
        <is>
          <t>Atención al Cliente</t>
        </is>
      </c>
      <c r="D166" s="25" t="inlineStr">
        <is>
          <t>Desarrollo De Software</t>
        </is>
      </c>
      <c r="E166" s="26" t="n">
        <v>13500</v>
      </c>
      <c r="F166" s="27">
        <f>E166/Config!$B$1</f>
        <v/>
      </c>
      <c r="G166" s="24" t="inlineStr">
        <is>
          <t>Real</t>
        </is>
      </c>
    </row>
    <row r="167" ht="34.5" customHeight="1" s="19">
      <c r="A167" s="24" t="n">
        <v>7773</v>
      </c>
      <c r="B167" s="25" t="inlineStr">
        <is>
          <t>Servicios de diseño y desarrollo de chatbots y asistentes virtuales con capacidades de procesamiento de lenguaje natural</t>
        </is>
      </c>
      <c r="C167" s="24" t="inlineStr">
        <is>
          <t>Atención al Cliente</t>
        </is>
      </c>
      <c r="D167" s="25" t="inlineStr">
        <is>
          <t>Desarrollo De Software</t>
        </is>
      </c>
      <c r="E167" s="26" t="n">
        <v>1000</v>
      </c>
      <c r="F167" s="27">
        <f>E167/Config!$B$1</f>
        <v/>
      </c>
      <c r="G167" s="28" t="inlineStr">
        <is>
          <t>Estimado (mediana de categoría)</t>
        </is>
      </c>
    </row>
    <row r="168" ht="23.25" customHeight="1" s="19">
      <c r="A168" s="24" t="n">
        <v>6356</v>
      </c>
      <c r="B168" s="25" t="inlineStr">
        <is>
          <t>Servicios de gestión de la experiencia del cliente</t>
        </is>
      </c>
      <c r="C168" s="24" t="inlineStr">
        <is>
          <t>Atención al Cliente</t>
        </is>
      </c>
      <c r="D168" s="25" t="inlineStr">
        <is>
          <t>Servicios De Consultoría Y Ejecución De Programas De Gestión De La Experiencia Del Cliente.</t>
        </is>
      </c>
      <c r="E168" s="26" t="n">
        <v>18000</v>
      </c>
      <c r="F168" s="27">
        <f>E168/Config!$B$1</f>
        <v/>
      </c>
      <c r="G168" s="24" t="inlineStr">
        <is>
          <t>Real</t>
        </is>
      </c>
    </row>
    <row r="169" ht="23.25" customHeight="1" s="19">
      <c r="A169" s="24" t="n">
        <v>8067</v>
      </c>
      <c r="B169" s="25" t="inlineStr">
        <is>
          <t>Servicios de gestión de la experiencia del cliente</t>
        </is>
      </c>
      <c r="C169" s="24" t="inlineStr">
        <is>
          <t>Atención al Cliente</t>
        </is>
      </c>
      <c r="D169" s="25" t="inlineStr">
        <is>
          <t>Servicios De Consultoría Y Ejecución De Programas De Gestión De La Experiencia Del Cliente.</t>
        </is>
      </c>
      <c r="E169" s="26" t="n">
        <v>1000</v>
      </c>
      <c r="F169" s="27">
        <f>E169/Config!$B$1</f>
        <v/>
      </c>
      <c r="G169" s="28" t="inlineStr">
        <is>
          <t>Estimado (mediana de categoría)</t>
        </is>
      </c>
    </row>
    <row r="170" ht="23.25" customHeight="1" s="19">
      <c r="A170" s="24" t="n">
        <v>6521</v>
      </c>
      <c r="B170" s="25" t="inlineStr">
        <is>
          <t>Servicios de interpretación</t>
        </is>
      </c>
      <c r="C170" s="24" t="inlineStr">
        <is>
          <t>Atención al Cliente</t>
        </is>
      </c>
      <c r="D170" s="25" t="inlineStr">
        <is>
          <t>Servicios De Interpretación En Vivo Para Eventos Y Reuniones Multilinguës.</t>
        </is>
      </c>
      <c r="E170" s="26" t="n">
        <v>50</v>
      </c>
      <c r="F170" s="27">
        <f>E170/Config!$B$1</f>
        <v/>
      </c>
      <c r="G170" s="24" t="inlineStr">
        <is>
          <t>Real</t>
        </is>
      </c>
    </row>
    <row r="171" ht="15" customHeight="1" s="19">
      <c r="A171" s="24" t="n">
        <v>5969</v>
      </c>
      <c r="B171" s="25" t="inlineStr">
        <is>
          <t>Servicios de monitoreo y gestión de infraestructura IT</t>
        </is>
      </c>
      <c r="C171" s="24" t="inlineStr">
        <is>
          <t>Atención al Cliente</t>
        </is>
      </c>
      <c r="D171" s="25" t="inlineStr">
        <is>
          <t>Monitoreo Y Gestión De Infraestructura It</t>
        </is>
      </c>
      <c r="E171" s="26" t="n">
        <v>13500</v>
      </c>
      <c r="F171" s="27">
        <f>E171/Config!$B$1</f>
        <v/>
      </c>
      <c r="G171" s="24" t="inlineStr">
        <is>
          <t>Real</t>
        </is>
      </c>
    </row>
    <row r="172" ht="15" customHeight="1" s="19">
      <c r="A172" s="24" t="n">
        <v>7732</v>
      </c>
      <c r="B172" s="25" t="inlineStr">
        <is>
          <t>Servicios de monitoreo y gestión de infraestructura IT</t>
        </is>
      </c>
      <c r="C172" s="24" t="inlineStr">
        <is>
          <t>Atención al Cliente</t>
        </is>
      </c>
      <c r="D172" s="25" t="inlineStr">
        <is>
          <t>Monitoreo Y Gestión De Infraestructura It</t>
        </is>
      </c>
      <c r="E172" s="26" t="n">
        <v>1000</v>
      </c>
      <c r="F172" s="27">
        <f>E172/Config!$B$1</f>
        <v/>
      </c>
      <c r="G172" s="28" t="inlineStr">
        <is>
          <t>Estimado (mediana de categoría)</t>
        </is>
      </c>
    </row>
    <row r="173" ht="23.25" customHeight="1" s="19">
      <c r="A173" s="24" t="n">
        <v>6388</v>
      </c>
      <c r="B173" s="25" t="inlineStr">
        <is>
          <t>Servicios de soporte y mantenimiento de TI</t>
        </is>
      </c>
      <c r="C173" s="24" t="inlineStr">
        <is>
          <t>Atención al Cliente</t>
        </is>
      </c>
      <c r="D173" s="25" t="inlineStr">
        <is>
          <t>Servicios De Soporte Y Administración De La Infraestructura Y Aplicaciones Tecnológicas.</t>
        </is>
      </c>
      <c r="E173" s="26" t="n">
        <v>1800</v>
      </c>
      <c r="F173" s="27">
        <f>E173/Config!$B$1</f>
        <v/>
      </c>
      <c r="G173" s="24" t="inlineStr">
        <is>
          <t>Real</t>
        </is>
      </c>
    </row>
    <row r="174" ht="23.25" customHeight="1" s="19">
      <c r="A174" s="24" t="n">
        <v>8099</v>
      </c>
      <c r="B174" s="25" t="inlineStr">
        <is>
          <t>Servicios de soporte y mantenimiento de TI</t>
        </is>
      </c>
      <c r="C174" s="24" t="inlineStr">
        <is>
          <t>Atención al Cliente</t>
        </is>
      </c>
      <c r="D174" s="25" t="inlineStr">
        <is>
          <t>Servicios De Soporte Y Administración De La Infraestructura Y Aplicaciones Tecnológicas.</t>
        </is>
      </c>
      <c r="E174" s="26" t="n">
        <v>1000</v>
      </c>
      <c r="F174" s="27">
        <f>E174/Config!$B$1</f>
        <v/>
      </c>
      <c r="G174" s="28" t="inlineStr">
        <is>
          <t>Estimado (mediana de categoría)</t>
        </is>
      </c>
    </row>
    <row r="175" ht="23.25" customHeight="1" s="19">
      <c r="A175" s="24" t="n">
        <v>6520</v>
      </c>
      <c r="B175" s="25" t="inlineStr">
        <is>
          <t>Servicios de traducción</t>
        </is>
      </c>
      <c r="C175" s="24" t="inlineStr">
        <is>
          <t>Atención al Cliente</t>
        </is>
      </c>
      <c r="D175" s="25" t="inlineStr">
        <is>
          <t>Servicios De Traducción De Contenido A Diversos Idiomas.</t>
        </is>
      </c>
      <c r="E175" s="26" t="n">
        <v>1000</v>
      </c>
      <c r="F175" s="27">
        <f>E175/Config!$B$1</f>
        <v/>
      </c>
      <c r="G175" s="28" t="inlineStr">
        <is>
          <t>Estimado (mediana de categoría)</t>
        </is>
      </c>
    </row>
    <row r="176" ht="57" customHeight="1" s="19">
      <c r="A176" s="24" t="n">
        <v>7494</v>
      </c>
      <c r="B176" s="25" t="inlineStr">
        <is>
          <t>Soporte Integral: Tu solución completa para todas tus necesidades</t>
        </is>
      </c>
      <c r="C176" s="24" t="inlineStr">
        <is>
          <t>Atención al Cliente</t>
        </is>
      </c>
      <c r="D176" s="25" t="inlineStr">
        <is>
          <t>Soporte Integral: Tu aliado para un negocio sin preocupaciones. Atención personalizada, soporte técnico 24/7, gestión de proyectos, capacitación y auditorías para garantizar el éxito y la tranquilidad de tu negocio.</t>
        </is>
      </c>
      <c r="E176" s="26" t="n">
        <v>1000</v>
      </c>
      <c r="F176" s="27">
        <f>E176/Config!$B$1</f>
        <v/>
      </c>
      <c r="G176" s="28" t="inlineStr">
        <is>
          <t>Estimado (mediana de categoría)</t>
        </is>
      </c>
    </row>
    <row r="177" ht="23.25" customHeight="1" s="19">
      <c r="A177" s="24" t="n">
        <v>7529</v>
      </c>
      <c r="B177" s="25" t="inlineStr">
        <is>
          <t>Soporte Post-Implementación: Asistencia Experta para el Éxito Continuo</t>
        </is>
      </c>
      <c r="C177" s="24" t="inlineStr">
        <is>
          <t>Atención al Cliente</t>
        </is>
      </c>
      <c r="D177" s="25" t="inlineStr">
        <is>
          <t>Soporte Post-Implementación: el aliado indispensable para el éxito de tus proyectos tecnológicos.</t>
        </is>
      </c>
      <c r="E177" s="26" t="n">
        <v>500</v>
      </c>
      <c r="F177" s="27">
        <f>E177/Config!$B$1</f>
        <v/>
      </c>
      <c r="G177" s="24" t="inlineStr">
        <is>
          <t>Real</t>
        </is>
      </c>
    </row>
    <row r="178" ht="15" customHeight="1" s="19">
      <c r="A178" s="24" t="n">
        <v>6152</v>
      </c>
      <c r="B178" s="25" t="inlineStr">
        <is>
          <t>Soporte Remoto</t>
        </is>
      </c>
      <c r="C178" s="24" t="inlineStr">
        <is>
          <t>Atención al Cliente</t>
        </is>
      </c>
      <c r="D178" s="25" t="inlineStr">
        <is>
          <t>Soporte Técnico A Distancia.</t>
        </is>
      </c>
      <c r="E178" s="26" t="n">
        <v>2500</v>
      </c>
      <c r="F178" s="27">
        <f>E178/Config!$B$1</f>
        <v/>
      </c>
      <c r="G178" s="24" t="inlineStr">
        <is>
          <t>Real</t>
        </is>
      </c>
    </row>
    <row r="179" ht="15" customHeight="1" s="19">
      <c r="A179" s="24" t="n">
        <v>7876</v>
      </c>
      <c r="B179" s="25" t="inlineStr">
        <is>
          <t>Soporte Remoto</t>
        </is>
      </c>
      <c r="C179" s="24" t="inlineStr">
        <is>
          <t>Atención al Cliente</t>
        </is>
      </c>
      <c r="D179" s="25" t="inlineStr">
        <is>
          <t>Soporte Técnico A Distancia.</t>
        </is>
      </c>
      <c r="E179" s="26" t="n">
        <v>1000</v>
      </c>
      <c r="F179" s="27">
        <f>E179/Config!$B$1</f>
        <v/>
      </c>
      <c r="G179" s="28" t="inlineStr">
        <is>
          <t>Estimado (mediana de categoría)</t>
        </is>
      </c>
    </row>
    <row r="180" ht="15" customHeight="1" s="19">
      <c r="A180" s="24" t="n">
        <v>6097</v>
      </c>
      <c r="B180" s="25" t="inlineStr">
        <is>
          <t>Soporte Técnico 24/7</t>
        </is>
      </c>
      <c r="C180" s="24" t="inlineStr">
        <is>
          <t>Atención al Cliente</t>
        </is>
      </c>
      <c r="D180" s="25" t="inlineStr">
        <is>
          <t>Soporte Técnico</t>
        </is>
      </c>
      <c r="E180" s="26" t="n">
        <v>3000</v>
      </c>
      <c r="F180" s="27">
        <f>E180/Config!$B$1</f>
        <v/>
      </c>
      <c r="G180" s="24" t="inlineStr">
        <is>
          <t>Real</t>
        </is>
      </c>
    </row>
    <row r="181" ht="15" customHeight="1" s="19">
      <c r="A181" s="24" t="n">
        <v>7821</v>
      </c>
      <c r="B181" s="25" t="inlineStr">
        <is>
          <t>Soporte Técnico 24/7</t>
        </is>
      </c>
      <c r="C181" s="24" t="inlineStr">
        <is>
          <t>Atención al Cliente</t>
        </is>
      </c>
      <c r="D181" s="25" t="inlineStr">
        <is>
          <t>Soporte Técnico</t>
        </is>
      </c>
      <c r="E181" s="26" t="n">
        <v>1000</v>
      </c>
      <c r="F181" s="27">
        <f>E181/Config!$B$1</f>
        <v/>
      </c>
      <c r="G181" s="28" t="inlineStr">
        <is>
          <t>Estimado (mediana de categoría)</t>
        </is>
      </c>
    </row>
    <row r="182" ht="15" customHeight="1" s="19">
      <c r="A182" s="24" t="n">
        <v>7455</v>
      </c>
      <c r="B182" s="25" t="inlineStr">
        <is>
          <t>Soporte Técnico Adicional</t>
        </is>
      </c>
      <c r="C182" s="24" t="inlineStr">
        <is>
          <t>Atención al Cliente</t>
        </is>
      </c>
      <c r="D182" s="25" t="n"/>
      <c r="E182" s="26" t="n">
        <v>1000</v>
      </c>
      <c r="F182" s="27">
        <f>E182/Config!$B$1</f>
        <v/>
      </c>
      <c r="G182" s="28" t="inlineStr">
        <is>
          <t>Estimado (mediana de categoría)</t>
        </is>
      </c>
    </row>
    <row r="183" ht="15" customHeight="1" s="19">
      <c r="A183" s="24" t="n">
        <v>6979</v>
      </c>
      <c r="B183" s="25" t="inlineStr">
        <is>
          <t>Soporte Técnico Avanzado</t>
        </is>
      </c>
      <c r="C183" s="24" t="inlineStr">
        <is>
          <t>Atención al Cliente</t>
        </is>
      </c>
      <c r="D183" s="25" t="inlineStr">
        <is>
          <t>Soporte Técnico Avanzado.</t>
        </is>
      </c>
      <c r="E183" s="26" t="n">
        <v>1000</v>
      </c>
      <c r="F183" s="27">
        <f>E183/Config!$B$1</f>
        <v/>
      </c>
      <c r="G183" s="24" t="inlineStr">
        <is>
          <t>Real</t>
        </is>
      </c>
    </row>
    <row r="184" ht="15" customHeight="1" s="19">
      <c r="A184" s="24" t="n">
        <v>6978</v>
      </c>
      <c r="B184" s="25" t="inlineStr">
        <is>
          <t>Soporte Técnico Básico</t>
        </is>
      </c>
      <c r="C184" s="24" t="inlineStr">
        <is>
          <t>Atención al Cliente</t>
        </is>
      </c>
      <c r="D184" s="25" t="inlineStr">
        <is>
          <t>Soporte Técnico Básico.</t>
        </is>
      </c>
      <c r="E184" s="26" t="n">
        <v>600</v>
      </c>
      <c r="F184" s="27">
        <f>E184/Config!$B$1</f>
        <v/>
      </c>
      <c r="G184" s="24" t="inlineStr">
        <is>
          <t>Real</t>
        </is>
      </c>
    </row>
    <row r="185" ht="15" customHeight="1" s="19">
      <c r="A185" s="24" t="n">
        <v>6981</v>
      </c>
      <c r="B185" s="25" t="inlineStr">
        <is>
          <t>Soporte Técnico Básico (Horario Laboral)</t>
        </is>
      </c>
      <c r="C185" s="24" t="inlineStr">
        <is>
          <t>Atención al Cliente</t>
        </is>
      </c>
      <c r="D185" s="25" t="inlineStr">
        <is>
          <t>Soporte Técnico Básico.</t>
        </is>
      </c>
      <c r="E185" s="26" t="n">
        <v>250</v>
      </c>
      <c r="F185" s="27">
        <f>E185/Config!$B$1</f>
        <v/>
      </c>
      <c r="G185" s="24" t="inlineStr">
        <is>
          <t>Real</t>
        </is>
      </c>
    </row>
    <row r="186" ht="34.5" customHeight="1" s="19">
      <c r="A186" s="24" t="n">
        <v>7470</v>
      </c>
      <c r="B186" s="25" t="inlineStr">
        <is>
          <t>Soporte Técnico Básico (Horario Laboral): Asistencia Experta para tus Dispositivos</t>
        </is>
      </c>
      <c r="C186" s="24" t="inlineStr">
        <is>
          <t>Atención al Cliente</t>
        </is>
      </c>
      <c r="D186" s="25" t="inlineStr">
        <is>
          <t>Soporte técnico remoto y telefónico durante el horario laboral para resolver problemas informáticos y de dispositivos.</t>
        </is>
      </c>
      <c r="E186" s="26" t="n">
        <v>24</v>
      </c>
      <c r="F186" s="27">
        <f>E186/Config!$B$1</f>
        <v/>
      </c>
      <c r="G186" s="24" t="inlineStr">
        <is>
          <t>Real</t>
        </is>
      </c>
    </row>
    <row r="187" ht="23.25" customHeight="1" s="19">
      <c r="A187" s="24" t="n">
        <v>7479</v>
      </c>
      <c r="B187" s="25" t="inlineStr">
        <is>
          <t>Soporte Técnico Básico: Asistencia rápida y confiable para tus dispositivos</t>
        </is>
      </c>
      <c r="C187" s="24" t="inlineStr">
        <is>
          <t>Atención al Cliente</t>
        </is>
      </c>
      <c r="D187" s="25" t="inlineStr">
        <is>
          <t>Soporte Técnico Básico: Tu aliado tecnológico para una vida digital sin complicaciones.</t>
        </is>
      </c>
      <c r="E187" s="26" t="n">
        <v>1000</v>
      </c>
      <c r="F187" s="27">
        <f>E187/Config!$B$1</f>
        <v/>
      </c>
      <c r="G187" s="28" t="inlineStr">
        <is>
          <t>Estimado (mediana de categoría)</t>
        </is>
      </c>
    </row>
    <row r="188" ht="23.25" customHeight="1" s="19">
      <c r="A188" s="24" t="n">
        <v>7509</v>
      </c>
      <c r="B188" s="25" t="inlineStr">
        <is>
          <t>Soporte Técnico Básico: Asistencia rápida y confiable para tus dispositivos</t>
        </is>
      </c>
      <c r="C188" s="24" t="inlineStr">
        <is>
          <t>Atención al Cliente</t>
        </is>
      </c>
      <c r="D188" s="25" t="inlineStr">
        <is>
          <t>Soporte Técnico Básico: Tu aliado tecnológico para una vida digital sin complicaciones.</t>
        </is>
      </c>
      <c r="E188" s="26" t="n">
        <v>1000</v>
      </c>
      <c r="F188" s="27">
        <f>E188/Config!$B$1</f>
        <v/>
      </c>
      <c r="G188" s="28" t="inlineStr">
        <is>
          <t>Estimado (mediana de categoría)</t>
        </is>
      </c>
    </row>
    <row r="189" ht="15" customHeight="1" s="19">
      <c r="A189" s="24" t="n">
        <v>6149</v>
      </c>
      <c r="B189" s="25" t="inlineStr">
        <is>
          <t>Soporte Técnico Continuo</t>
        </is>
      </c>
      <c r="C189" s="24" t="inlineStr">
        <is>
          <t>Atención al Cliente</t>
        </is>
      </c>
      <c r="D189" s="25" t="inlineStr">
        <is>
          <t>Soporte Técnico Para Sistemas Y Aplicaciones.</t>
        </is>
      </c>
      <c r="E189" s="26" t="n">
        <v>2500</v>
      </c>
      <c r="F189" s="27">
        <f>E189/Config!$B$1</f>
        <v/>
      </c>
      <c r="G189" s="24" t="inlineStr">
        <is>
          <t>Real</t>
        </is>
      </c>
    </row>
    <row r="190" ht="15" customHeight="1" s="19">
      <c r="A190" s="24" t="n">
        <v>7873</v>
      </c>
      <c r="B190" s="25" t="inlineStr">
        <is>
          <t>Soporte Técnico Continuo</t>
        </is>
      </c>
      <c r="C190" s="24" t="inlineStr">
        <is>
          <t>Atención al Cliente</t>
        </is>
      </c>
      <c r="D190" s="25" t="inlineStr">
        <is>
          <t>Soporte Técnico Para Sistemas Y Aplicaciones.</t>
        </is>
      </c>
      <c r="E190" s="26" t="n">
        <v>1000</v>
      </c>
      <c r="F190" s="27">
        <f>E190/Config!$B$1</f>
        <v/>
      </c>
      <c r="G190" s="28" t="inlineStr">
        <is>
          <t>Estimado (mediana de categoría)</t>
        </is>
      </c>
    </row>
    <row r="191" ht="57" customHeight="1" s="19">
      <c r="A191" s="24" t="n">
        <v>7544</v>
      </c>
      <c r="B191" s="25" t="inlineStr">
        <is>
          <t>Soporte Técnico Continuo: Asistencia Experta 24/7 para tu Tranquilidad</t>
        </is>
      </c>
      <c r="C191" s="24" t="inlineStr">
        <is>
          <t>Atención al Cliente</t>
        </is>
      </c>
      <c r="D191" s="25" t="inlineStr">
        <is>
          <t>Soporte Técnico Continuo: Tu aliado tecnológico para un negocio sin interrupciones. Monitoreo proactivo, soporte remoto, soporte telefónico y gestión de incidentes para máxima disponibilidad, reducción de costos y tranquilidad.</t>
        </is>
      </c>
      <c r="E191" s="26" t="n">
        <v>0</v>
      </c>
      <c r="F191" s="27">
        <f>E191/Config!$B$1</f>
        <v/>
      </c>
      <c r="G191" s="24" t="inlineStr">
        <is>
          <t>Real</t>
        </is>
      </c>
    </row>
    <row r="192" ht="15" customHeight="1" s="19">
      <c r="A192" s="24" t="n">
        <v>6221</v>
      </c>
      <c r="B192" s="25" t="inlineStr">
        <is>
          <t>Soporte Técnico Especializado</t>
        </is>
      </c>
      <c r="C192" s="24" t="inlineStr">
        <is>
          <t>Atención al Cliente</t>
        </is>
      </c>
      <c r="D192" s="25" t="inlineStr">
        <is>
          <t>Soporte Técnico Especializado</t>
        </is>
      </c>
      <c r="E192" s="26" t="n">
        <v>5500</v>
      </c>
      <c r="F192" s="27">
        <f>E192/Config!$B$1</f>
        <v/>
      </c>
      <c r="G192" s="24" t="inlineStr">
        <is>
          <t>Real</t>
        </is>
      </c>
    </row>
    <row r="193" ht="15" customHeight="1" s="19">
      <c r="A193" s="24" t="n">
        <v>7945</v>
      </c>
      <c r="B193" s="25" t="inlineStr">
        <is>
          <t>Soporte Técnico Especializado</t>
        </is>
      </c>
      <c r="C193" s="24" t="inlineStr">
        <is>
          <t>Atención al Cliente</t>
        </is>
      </c>
      <c r="D193" s="25" t="inlineStr">
        <is>
          <t>Soporte Técnico Especializado</t>
        </is>
      </c>
      <c r="E193" s="26" t="n">
        <v>1000</v>
      </c>
      <c r="F193" s="27">
        <f>E193/Config!$B$1</f>
        <v/>
      </c>
      <c r="G193" s="28" t="inlineStr">
        <is>
          <t>Estimado (mediana de categoría)</t>
        </is>
      </c>
    </row>
    <row r="194" ht="45.75" customHeight="1" s="19">
      <c r="A194" s="24" t="n">
        <v>7484</v>
      </c>
      <c r="B194" s="25" t="inlineStr">
        <is>
          <t>Soporte Técnico Extendido: ¡Protección y tranquilidad para tus dispositivos!</t>
        </is>
      </c>
      <c r="C194" s="24" t="inlineStr">
        <is>
          <t>Atención al Cliente</t>
        </is>
      </c>
      <c r="D194" s="25" t="inlineStr">
        <is>
          <t>Soporte Técnico Extendido: Tu aliado tecnológico para una tranquilidad absoluta. Cobertura extendida, soporte 24/7, reparaciones y reemplazos, diagnóstico remoto y actualizaciones de software.</t>
        </is>
      </c>
      <c r="E194" s="26" t="n">
        <v>1000</v>
      </c>
      <c r="F194" s="27">
        <f>E194/Config!$B$1</f>
        <v/>
      </c>
      <c r="G194" s="28" t="inlineStr">
        <is>
          <t>Estimado (mediana de categoría)</t>
        </is>
      </c>
    </row>
    <row r="195" ht="68.25" customHeight="1" s="19">
      <c r="A195" s="24" t="n">
        <v>7537</v>
      </c>
      <c r="B195" s="25" t="inlineStr">
        <is>
          <t>Soporte Técnico Inicial: Asistencia rápida y confiable para tus dispositivos</t>
        </is>
      </c>
      <c r="C195" s="24" t="inlineStr">
        <is>
          <t>Atención al Cliente</t>
        </is>
      </c>
      <c r="D195" s="25" t="inlineStr">
        <is>
          <t>Soporte Técnico Inicial: Tu aliado tecnológico para un funcionamiento óptimo. Atención personalizada, diagnóstico remoto, soporte telefónico y por correo electrónico, base de conocimientos integral. Minimiza el tiempo de inactividad, mejora la eficiencia, reduce costos y brinda tranquilidad.</t>
        </is>
      </c>
      <c r="E195" s="26" t="n">
        <v>400</v>
      </c>
      <c r="F195" s="27">
        <f>E195/Config!$B$1</f>
        <v/>
      </c>
      <c r="G195" s="24" t="inlineStr">
        <is>
          <t>Real</t>
        </is>
      </c>
    </row>
    <row r="196" ht="15" customHeight="1" s="19">
      <c r="A196" s="24" t="n">
        <v>6977</v>
      </c>
      <c r="B196" s="25" t="inlineStr">
        <is>
          <t>Soporte Técnico Mensual</t>
        </is>
      </c>
      <c r="C196" s="24" t="inlineStr">
        <is>
          <t>Atención al Cliente</t>
        </is>
      </c>
      <c r="D196" s="25" t="inlineStr">
        <is>
          <t>Soporte Técnico Continuo.</t>
        </is>
      </c>
      <c r="E196" s="26" t="n">
        <v>90</v>
      </c>
      <c r="F196" s="27">
        <f>E196/Config!$B$1</f>
        <v/>
      </c>
      <c r="G196" s="24" t="inlineStr">
        <is>
          <t>Real</t>
        </is>
      </c>
    </row>
    <row r="197" ht="15" customHeight="1" s="19">
      <c r="A197" s="24" t="n">
        <v>7448</v>
      </c>
      <c r="B197" s="25" t="inlineStr">
        <is>
          <t>Soporte Técnico Prioritario</t>
        </is>
      </c>
      <c r="C197" s="24" t="inlineStr">
        <is>
          <t>Atención al Cliente</t>
        </is>
      </c>
      <c r="D197" s="25" t="n"/>
      <c r="E197" s="26" t="n">
        <v>1000</v>
      </c>
      <c r="F197" s="27">
        <f>E197/Config!$B$1</f>
        <v/>
      </c>
      <c r="G197" s="28" t="inlineStr">
        <is>
          <t>Estimado (mediana de categoría)</t>
        </is>
      </c>
    </row>
    <row r="198" ht="15" customHeight="1" s="19">
      <c r="A198" s="24" t="n">
        <v>6143</v>
      </c>
      <c r="B198" s="25" t="inlineStr">
        <is>
          <t>Soporte a Usuarios Finales</t>
        </is>
      </c>
      <c r="C198" s="24" t="inlineStr">
        <is>
          <t>Atención al Cliente</t>
        </is>
      </c>
      <c r="D198" s="25" t="inlineStr">
        <is>
          <t>Soporte Técnico Para Usuarios Finales.</t>
        </is>
      </c>
      <c r="E198" s="26" t="n">
        <v>120</v>
      </c>
      <c r="F198" s="27">
        <f>E198/Config!$B$1</f>
        <v/>
      </c>
      <c r="G198" s="24" t="inlineStr">
        <is>
          <t>Real</t>
        </is>
      </c>
    </row>
    <row r="199" ht="15" customHeight="1" s="19">
      <c r="A199" s="24" t="n">
        <v>7867</v>
      </c>
      <c r="B199" s="25" t="inlineStr">
        <is>
          <t>Soporte a Usuarios Finales</t>
        </is>
      </c>
      <c r="C199" s="24" t="inlineStr">
        <is>
          <t>Atención al Cliente</t>
        </is>
      </c>
      <c r="D199" s="25" t="inlineStr">
        <is>
          <t>Soporte Técnico Para Usuarios Finales.</t>
        </is>
      </c>
      <c r="E199" s="26" t="n">
        <v>1000</v>
      </c>
      <c r="F199" s="27">
        <f>E199/Config!$B$1</f>
        <v/>
      </c>
      <c r="G199" s="28" t="inlineStr">
        <is>
          <t>Estimado (mediana de categoría)</t>
        </is>
      </c>
    </row>
    <row r="200" ht="15" customHeight="1" s="19">
      <c r="A200" s="24" t="n">
        <v>6064</v>
      </c>
      <c r="B200" s="25" t="inlineStr">
        <is>
          <t>Soporte al Cliente</t>
        </is>
      </c>
      <c r="C200" s="24" t="inlineStr">
        <is>
          <t>Atención al Cliente</t>
        </is>
      </c>
      <c r="D200" s="25" t="inlineStr">
        <is>
          <t>Soporte Automatizado</t>
        </is>
      </c>
      <c r="E200" s="26" t="n">
        <v>1000</v>
      </c>
      <c r="F200" s="27">
        <f>E200/Config!$B$1</f>
        <v/>
      </c>
      <c r="G200" s="28" t="inlineStr">
        <is>
          <t>Estimado (mediana de categoría)</t>
        </is>
      </c>
    </row>
    <row r="201" ht="15" customHeight="1" s="19">
      <c r="A201" s="24" t="n">
        <v>6056</v>
      </c>
      <c r="B201" s="25" t="inlineStr">
        <is>
          <t>Soporte al Cliente con Respuestas Rápidas y Precisas</t>
        </is>
      </c>
      <c r="C201" s="24" t="inlineStr">
        <is>
          <t>Atención al Cliente</t>
        </is>
      </c>
      <c r="D201" s="25" t="inlineStr">
        <is>
          <t>Chatbots Y Respuestas Automatizadas.</t>
        </is>
      </c>
      <c r="E201" s="26" t="n">
        <v>3500</v>
      </c>
      <c r="F201" s="27">
        <f>E201/Config!$B$1</f>
        <v/>
      </c>
      <c r="G201" s="24" t="inlineStr">
        <is>
          <t>Real</t>
        </is>
      </c>
    </row>
    <row r="202" ht="15" customHeight="1" s="19">
      <c r="A202" s="24" t="n">
        <v>7791</v>
      </c>
      <c r="B202" s="25" t="inlineStr">
        <is>
          <t>Soporte al Cliente con Respuestas Rápidas y Precisas</t>
        </is>
      </c>
      <c r="C202" s="24" t="inlineStr">
        <is>
          <t>Atención al Cliente</t>
        </is>
      </c>
      <c r="D202" s="25" t="inlineStr">
        <is>
          <t>Chatbots Y Respuestas Automatizadas.</t>
        </is>
      </c>
      <c r="E202" s="26" t="n">
        <v>1000</v>
      </c>
      <c r="F202" s="27">
        <f>E202/Config!$B$1</f>
        <v/>
      </c>
      <c r="G202" s="28" t="inlineStr">
        <is>
          <t>Estimado (mediana de categoría)</t>
        </is>
      </c>
    </row>
    <row r="203" ht="34.5" customHeight="1" s="19">
      <c r="A203" s="24" t="n">
        <v>7501</v>
      </c>
      <c r="B203" s="25" t="inlineStr">
        <is>
          <t>Soporte básico (horario laboral): asistencia técnica rápida y confiable</t>
        </is>
      </c>
      <c r="C203" s="24" t="inlineStr">
        <is>
          <t>Atención al Cliente</t>
        </is>
      </c>
      <c r="D203" s="25" t="inlineStr">
        <is>
          <t>Soporte técnico básico durante el horario laboral para resolver problemas técnicos menores y brindar asistencia general.</t>
        </is>
      </c>
      <c r="E203" s="26" t="n">
        <v>24</v>
      </c>
      <c r="F203" s="27">
        <f>E203/Config!$B$1</f>
        <v/>
      </c>
      <c r="G203" s="24" t="inlineStr">
        <is>
          <t>Real</t>
        </is>
      </c>
    </row>
    <row r="204" ht="15" customHeight="1" s="19">
      <c r="A204" s="24" t="n">
        <v>6825</v>
      </c>
      <c r="B204" s="25" t="inlineStr">
        <is>
          <t>Soporte básico anual</t>
        </is>
      </c>
      <c r="C204" s="24" t="inlineStr">
        <is>
          <t>Atención al Cliente</t>
        </is>
      </c>
      <c r="D204" s="25" t="n"/>
      <c r="E204" s="26" t="n">
        <v>1</v>
      </c>
      <c r="F204" s="27">
        <f>E204/Config!$B$1</f>
        <v/>
      </c>
      <c r="G204" s="24" t="inlineStr">
        <is>
          <t>Real</t>
        </is>
      </c>
    </row>
    <row r="205" ht="15" customHeight="1" s="19">
      <c r="A205" s="24" t="n">
        <v>6994</v>
      </c>
      <c r="B205" s="25" t="inlineStr">
        <is>
          <t>Soporte para Transcripción de Audio</t>
        </is>
      </c>
      <c r="C205" s="24" t="inlineStr">
        <is>
          <t>Atención al Cliente</t>
        </is>
      </c>
      <c r="D205" s="25" t="inlineStr">
        <is>
          <t>Soporte Transcripción De Audio</t>
        </is>
      </c>
      <c r="E205" s="26" t="n">
        <v>1150</v>
      </c>
      <c r="F205" s="27">
        <f>E205/Config!$B$1</f>
        <v/>
      </c>
      <c r="G205" s="24" t="inlineStr">
        <is>
          <t>Real</t>
        </is>
      </c>
    </row>
    <row r="206" ht="15" customHeight="1" s="19">
      <c r="A206" s="24" t="n">
        <v>6989</v>
      </c>
      <c r="B206" s="25" t="inlineStr">
        <is>
          <t>Soporte y Mantenimiento de Ti</t>
        </is>
      </c>
      <c r="C206" s="24" t="inlineStr">
        <is>
          <t>Atención al Cliente</t>
        </is>
      </c>
      <c r="D206" s="25" t="inlineStr">
        <is>
          <t>Soporte Ti</t>
        </is>
      </c>
      <c r="E206" s="26" t="n">
        <v>2000</v>
      </c>
      <c r="F206" s="27">
        <f>E206/Config!$B$1</f>
        <v/>
      </c>
      <c r="G206" s="24" t="inlineStr">
        <is>
          <t>Real</t>
        </is>
      </c>
    </row>
    <row r="207" ht="15" customHeight="1" s="19">
      <c r="A207" s="24" t="n">
        <v>5899</v>
      </c>
      <c r="B207" s="25" t="inlineStr">
        <is>
          <t>Systems Maintenance</t>
        </is>
      </c>
      <c r="C207" s="24" t="inlineStr">
        <is>
          <t>Atención al Cliente</t>
        </is>
      </c>
      <c r="D207" s="25" t="inlineStr">
        <is>
          <t>Mantenimiento De Sistemas It</t>
        </is>
      </c>
      <c r="E207" s="26" t="n">
        <v>15000</v>
      </c>
      <c r="F207" s="27">
        <f>E207/Config!$B$1</f>
        <v/>
      </c>
      <c r="G207" s="24" t="inlineStr">
        <is>
          <t>Real</t>
        </is>
      </c>
    </row>
    <row r="208" ht="15" customHeight="1" s="19">
      <c r="A208" s="24" t="n">
        <v>7681</v>
      </c>
      <c r="B208" s="25" t="inlineStr">
        <is>
          <t>Systems Maintenance</t>
        </is>
      </c>
      <c r="C208" s="24" t="inlineStr">
        <is>
          <t>Atención al Cliente</t>
        </is>
      </c>
      <c r="D208" s="25" t="inlineStr">
        <is>
          <t>Mantenimiento De Sistemas It</t>
        </is>
      </c>
      <c r="E208" s="26" t="n">
        <v>1000</v>
      </c>
      <c r="F208" s="27">
        <f>E208/Config!$B$1</f>
        <v/>
      </c>
      <c r="G208" s="28" t="inlineStr">
        <is>
          <t>Estimado (mediana de categoría)</t>
        </is>
      </c>
    </row>
    <row r="209" ht="15" customHeight="1" s="19">
      <c r="A209" s="24" t="n">
        <v>7024</v>
      </c>
      <c r="B209" s="25" t="inlineStr">
        <is>
          <t>Traducción de Contenido</t>
        </is>
      </c>
      <c r="C209" s="24" t="inlineStr">
        <is>
          <t>Atención al Cliente</t>
        </is>
      </c>
      <c r="D209" s="25" t="inlineStr">
        <is>
          <t>Traducción Contenido</t>
        </is>
      </c>
      <c r="E209" s="26" t="n">
        <v>950</v>
      </c>
      <c r="F209" s="27">
        <f>E209/Config!$B$1</f>
        <v/>
      </c>
      <c r="G209" s="24" t="inlineStr">
        <is>
          <t>Real</t>
        </is>
      </c>
    </row>
    <row r="210" ht="15" customHeight="1" s="19">
      <c r="A210" s="24" t="n">
        <v>7023</v>
      </c>
      <c r="B210" s="25" t="inlineStr">
        <is>
          <t>Traducción de Contenido Multilingüe</t>
        </is>
      </c>
      <c r="C210" s="24" t="inlineStr">
        <is>
          <t>Atención al Cliente</t>
        </is>
      </c>
      <c r="D210" s="25" t="inlineStr">
        <is>
          <t>Traducción Multilingüe</t>
        </is>
      </c>
      <c r="E210" s="26" t="n">
        <v>1900</v>
      </c>
      <c r="F210" s="27">
        <f>E210/Config!$B$1</f>
        <v/>
      </c>
      <c r="G210" s="24" t="inlineStr">
        <is>
          <t>Real</t>
        </is>
      </c>
    </row>
    <row r="211" ht="15" customHeight="1" s="19">
      <c r="A211" s="24" t="n">
        <v>7020</v>
      </c>
      <c r="B211" s="25" t="inlineStr">
        <is>
          <t>Traducción de Documentos Especializados</t>
        </is>
      </c>
      <c r="C211" s="24" t="inlineStr">
        <is>
          <t>Atención al Cliente</t>
        </is>
      </c>
      <c r="D211" s="25" t="inlineStr">
        <is>
          <t>Traducción De Documentos Especializados</t>
        </is>
      </c>
      <c r="E211" s="26" t="n">
        <v>450</v>
      </c>
      <c r="F211" s="27">
        <f>E211/Config!$B$1</f>
        <v/>
      </c>
      <c r="G211" s="24" t="inlineStr">
        <is>
          <t>Real</t>
        </is>
      </c>
    </row>
    <row r="212" ht="15" customHeight="1" s="19">
      <c r="A212" s="24" t="n">
        <v>7022</v>
      </c>
      <c r="B212" s="25" t="inlineStr">
        <is>
          <t>Traducción de Documentos Profesionales</t>
        </is>
      </c>
      <c r="C212" s="24" t="inlineStr">
        <is>
          <t>Atención al Cliente</t>
        </is>
      </c>
      <c r="D212" s="25" t="inlineStr">
        <is>
          <t>Traducción De Documentos</t>
        </is>
      </c>
      <c r="E212" s="26" t="n">
        <v>1400</v>
      </c>
      <c r="F212" s="27">
        <f>E212/Config!$B$1</f>
        <v/>
      </c>
      <c r="G212" s="24" t="inlineStr">
        <is>
          <t>Real</t>
        </is>
      </c>
    </row>
    <row r="213" ht="15" customHeight="1" s="19">
      <c r="A213" s="24" t="n">
        <v>6456</v>
      </c>
      <c r="B213" s="25" t="inlineStr">
        <is>
          <t>Traducción de documentos</t>
        </is>
      </c>
      <c r="C213" s="24" t="inlineStr">
        <is>
          <t>Atención al Cliente</t>
        </is>
      </c>
      <c r="D213" s="25" t="inlineStr">
        <is>
          <t>Servicio De Traducción De Contenido Profesional.</t>
        </is>
      </c>
      <c r="E213" s="26" t="n">
        <v>1000</v>
      </c>
      <c r="F213" s="27">
        <f>E213/Config!$B$1</f>
        <v/>
      </c>
      <c r="G213" s="28" t="inlineStr">
        <is>
          <t>Estimado (mediana de categoría)</t>
        </is>
      </c>
    </row>
    <row r="214" ht="15" customHeight="1" s="19">
      <c r="A214" s="24" t="n">
        <v>6321</v>
      </c>
      <c r="B214" s="25" t="inlineStr">
        <is>
          <t>Traducción e interpretación</t>
        </is>
      </c>
      <c r="C214" s="24" t="inlineStr">
        <is>
          <t>Atención al Cliente</t>
        </is>
      </c>
      <c r="D214" s="25" t="inlineStr">
        <is>
          <t>Servicios De Traducción E Interpretación Multilingüe.</t>
        </is>
      </c>
      <c r="E214" s="26" t="n">
        <v>720</v>
      </c>
      <c r="F214" s="27">
        <f>E214/Config!$B$1</f>
        <v/>
      </c>
      <c r="G214" s="24" t="inlineStr">
        <is>
          <t>Real</t>
        </is>
      </c>
    </row>
    <row r="215" ht="15" customHeight="1" s="19">
      <c r="A215" s="24" t="n">
        <v>6455</v>
      </c>
      <c r="B215" s="25" t="inlineStr">
        <is>
          <t>Transcripción de audio</t>
        </is>
      </c>
      <c r="C215" s="24" t="inlineStr">
        <is>
          <t>Atención al Cliente</t>
        </is>
      </c>
      <c r="D215" s="25" t="inlineStr">
        <is>
          <t>Servicio De Transcripción Profesional De Audio.</t>
        </is>
      </c>
      <c r="E215" s="26" t="n">
        <v>50</v>
      </c>
      <c r="F215" s="27">
        <f>E215/Config!$B$1</f>
        <v/>
      </c>
      <c r="G215" s="24" t="inlineStr">
        <is>
          <t>Real</t>
        </is>
      </c>
    </row>
    <row r="216" ht="15" customHeight="1" s="19">
      <c r="A216" s="24" t="n">
        <v>7026</v>
      </c>
      <c r="B216" s="25" t="inlineStr">
        <is>
          <t>Translation of Documents</t>
        </is>
      </c>
      <c r="C216" s="24" t="inlineStr">
        <is>
          <t>Atención al Cliente</t>
        </is>
      </c>
      <c r="D216" s="25" t="inlineStr">
        <is>
          <t>Traducción Documentos</t>
        </is>
      </c>
      <c r="E216" s="26" t="n">
        <v>850</v>
      </c>
      <c r="F216" s="27">
        <f>E216/Config!$B$1</f>
        <v/>
      </c>
      <c r="G216" s="24" t="inlineStr">
        <is>
          <t>Real</t>
        </is>
      </c>
    </row>
    <row r="217" ht="15" customHeight="1" s="19">
      <c r="A217" s="24" t="n">
        <v>6276</v>
      </c>
      <c r="B217" s="25" t="inlineStr">
        <is>
          <t>Valor Hora - Cliente A</t>
        </is>
      </c>
      <c r="C217" s="24" t="inlineStr">
        <is>
          <t>Atención al Cliente</t>
        </is>
      </c>
      <c r="D217" s="25" t="inlineStr">
        <is>
          <t>Tarifa Horaria Cliente A</t>
        </is>
      </c>
      <c r="E217" s="26" t="n">
        <v>1000</v>
      </c>
      <c r="F217" s="27">
        <f>E217/Config!$B$1</f>
        <v/>
      </c>
      <c r="G217" s="28" t="inlineStr">
        <is>
          <t>Estimado (mediana de categoría)</t>
        </is>
      </c>
    </row>
    <row r="218" ht="15" customHeight="1" s="19">
      <c r="A218" s="24" t="n">
        <v>6275</v>
      </c>
      <c r="B218" s="25" t="inlineStr">
        <is>
          <t>Valor Hora - Cliente B</t>
        </is>
      </c>
      <c r="C218" s="24" t="inlineStr">
        <is>
          <t>Atención al Cliente</t>
        </is>
      </c>
      <c r="D218" s="25" t="inlineStr">
        <is>
          <t>Tarifa Horaria Cliente B</t>
        </is>
      </c>
      <c r="E218" s="26" t="n">
        <v>1000</v>
      </c>
      <c r="F218" s="27">
        <f>E218/Config!$B$1</f>
        <v/>
      </c>
      <c r="G218" s="28" t="inlineStr">
        <is>
          <t>Estimado (mediana de categoría)</t>
        </is>
      </c>
    </row>
    <row r="219" ht="15" customHeight="1" s="19">
      <c r="A219" s="24" t="n">
        <v>6274</v>
      </c>
      <c r="B219" s="25" t="inlineStr">
        <is>
          <t>Valor Hora - Cliente C</t>
        </is>
      </c>
      <c r="C219" s="24" t="inlineStr">
        <is>
          <t>Atención al Cliente</t>
        </is>
      </c>
      <c r="D219" s="25" t="inlineStr">
        <is>
          <t>Tarifa Horaria Cliente C</t>
        </is>
      </c>
      <c r="E219" s="26" t="n">
        <v>1000</v>
      </c>
      <c r="F219" s="27">
        <f>E219/Config!$B$1</f>
        <v/>
      </c>
      <c r="G219" s="28" t="inlineStr">
        <is>
          <t>Estimado (mediana de categoría)</t>
        </is>
      </c>
    </row>
    <row r="220" ht="15" customHeight="1" s="19">
      <c r="A220" s="24" t="n">
        <v>6843</v>
      </c>
      <c r="B220" s="25" t="inlineStr">
        <is>
          <t>Valor Hora - Cliente D</t>
        </is>
      </c>
      <c r="C220" s="24" t="inlineStr">
        <is>
          <t>Atención al Cliente</t>
        </is>
      </c>
      <c r="D220" s="25" t="inlineStr">
        <is>
          <t>Valor Hora Cliente D</t>
        </is>
      </c>
      <c r="E220" s="26" t="n">
        <v>210</v>
      </c>
      <c r="F220" s="27">
        <f>E220/Config!$B$1</f>
        <v/>
      </c>
      <c r="G220" s="24" t="inlineStr">
        <is>
          <t>Real</t>
        </is>
      </c>
    </row>
    <row r="221" ht="15" customHeight="1" s="19">
      <c r="A221" s="24" t="n">
        <v>6844</v>
      </c>
      <c r="B221" s="25" t="inlineStr">
        <is>
          <t>Valor Hora - Cliente E</t>
        </is>
      </c>
      <c r="C221" s="24" t="inlineStr">
        <is>
          <t>Atención al Cliente</t>
        </is>
      </c>
      <c r="D221" s="25" t="inlineStr">
        <is>
          <t>Valor Hora Cliente E</t>
        </is>
      </c>
      <c r="E221" s="26" t="n">
        <v>230</v>
      </c>
      <c r="F221" s="27">
        <f>E221/Config!$B$1</f>
        <v/>
      </c>
      <c r="G221" s="24" t="inlineStr">
        <is>
          <t>Real</t>
        </is>
      </c>
    </row>
    <row r="222" ht="15" customHeight="1" s="19">
      <c r="A222" s="24" t="n">
        <v>6845</v>
      </c>
      <c r="B222" s="25" t="inlineStr">
        <is>
          <t>Valor Hora - Cliente F</t>
        </is>
      </c>
      <c r="C222" s="24" t="inlineStr">
        <is>
          <t>Atención al Cliente</t>
        </is>
      </c>
      <c r="D222" s="25" t="inlineStr">
        <is>
          <t>Valor Hora Cliente F</t>
        </is>
      </c>
      <c r="E222" s="26" t="n">
        <v>250</v>
      </c>
      <c r="F222" s="27">
        <f>E222/Config!$B$1</f>
        <v/>
      </c>
      <c r="G222" s="24" t="inlineStr">
        <is>
          <t>Real</t>
        </is>
      </c>
    </row>
    <row r="223" ht="15" customHeight="1" s="19">
      <c r="A223" s="24" t="n">
        <v>6846</v>
      </c>
      <c r="B223" s="25" t="inlineStr">
        <is>
          <t>Valor Hora - Cliente G</t>
        </is>
      </c>
      <c r="C223" s="24" t="inlineStr">
        <is>
          <t>Atención al Cliente</t>
        </is>
      </c>
      <c r="D223" s="25" t="inlineStr">
        <is>
          <t>Valor Hora Cliente G</t>
        </is>
      </c>
      <c r="E223" s="26" t="n">
        <v>270</v>
      </c>
      <c r="F223" s="27">
        <f>E223/Config!$B$1</f>
        <v/>
      </c>
      <c r="G223" s="24" t="inlineStr">
        <is>
          <t>Real</t>
        </is>
      </c>
    </row>
    <row r="224" ht="15" customHeight="1" s="19">
      <c r="A224" s="24" t="n">
        <v>6730</v>
      </c>
      <c r="B224" s="25" t="inlineStr">
        <is>
          <t>Análisis y Rediseño de Procesos</t>
        </is>
      </c>
      <c r="C224" s="24" t="inlineStr">
        <is>
          <t>Automatización de Procesos</t>
        </is>
      </c>
      <c r="D224" s="25" t="inlineStr">
        <is>
          <t>Análisis Y Rediseño De Procesos.</t>
        </is>
      </c>
      <c r="E224" s="26" t="n">
        <v>2100</v>
      </c>
      <c r="F224" s="27">
        <f>E224/Config!$B$1</f>
        <v/>
      </c>
      <c r="G224" s="24" t="inlineStr">
        <is>
          <t>Real</t>
        </is>
      </c>
    </row>
    <row r="225" ht="15" customHeight="1" s="19">
      <c r="A225" s="24" t="n">
        <v>6161</v>
      </c>
      <c r="B225" s="25" t="inlineStr">
        <is>
          <t>Asistencia Virtual para la Gestión de Tareas</t>
        </is>
      </c>
      <c r="C225" s="24" t="inlineStr">
        <is>
          <t>Automatización de Procesos</t>
        </is>
      </c>
      <c r="D225" s="25" t="inlineStr">
        <is>
          <t>Asistencia Virtual</t>
        </is>
      </c>
      <c r="E225" s="26" t="n">
        <v>3200</v>
      </c>
      <c r="F225" s="27">
        <f>E225/Config!$B$1</f>
        <v/>
      </c>
      <c r="G225" s="24" t="inlineStr">
        <is>
          <t>Real</t>
        </is>
      </c>
    </row>
    <row r="226" ht="15" customHeight="1" s="19">
      <c r="A226" s="24" t="n">
        <v>7885</v>
      </c>
      <c r="B226" s="25" t="inlineStr">
        <is>
          <t>Asistencia Virtual para la Gestión de Tareas</t>
        </is>
      </c>
      <c r="C226" s="24" t="inlineStr">
        <is>
          <t>Automatización de Procesos</t>
        </is>
      </c>
      <c r="D226" s="25" t="inlineStr">
        <is>
          <t>Asistencia Virtual</t>
        </is>
      </c>
      <c r="E226" s="26" t="n">
        <v>4500</v>
      </c>
      <c r="F226" s="27">
        <f>E226/Config!$B$1</f>
        <v/>
      </c>
      <c r="G226" s="28" t="inlineStr">
        <is>
          <t>Estimado (mediana de categoría)</t>
        </is>
      </c>
    </row>
    <row r="227" ht="15" customHeight="1" s="19">
      <c r="A227" s="24" t="n">
        <v>5892</v>
      </c>
      <c r="B227" s="25" t="inlineStr">
        <is>
          <t>Automation with Dolibarr</t>
        </is>
      </c>
      <c r="C227" s="24" t="inlineStr">
        <is>
          <t>Automatización de Procesos</t>
        </is>
      </c>
      <c r="D227" s="25" t="inlineStr">
        <is>
          <t>Automatización Empresarial</t>
        </is>
      </c>
      <c r="E227" s="26" t="n">
        <v>6000</v>
      </c>
      <c r="F227" s="27">
        <f>E227/Config!$B$1</f>
        <v/>
      </c>
      <c r="G227" s="24" t="inlineStr">
        <is>
          <t>Real</t>
        </is>
      </c>
    </row>
    <row r="228" ht="15" customHeight="1" s="19">
      <c r="A228" s="24" t="n">
        <v>7674</v>
      </c>
      <c r="B228" s="25" t="inlineStr">
        <is>
          <t>Automation with Dolibarr</t>
        </is>
      </c>
      <c r="C228" s="24" t="inlineStr">
        <is>
          <t>Automatización de Procesos</t>
        </is>
      </c>
      <c r="D228" s="25" t="inlineStr">
        <is>
          <t>Automatización Empresarial</t>
        </is>
      </c>
      <c r="E228" s="26" t="n">
        <v>4500</v>
      </c>
      <c r="F228" s="27">
        <f>E228/Config!$B$1</f>
        <v/>
      </c>
      <c r="G228" s="28" t="inlineStr">
        <is>
          <t>Estimado (mediana de categoría)</t>
        </is>
      </c>
    </row>
    <row r="229" ht="15" customHeight="1" s="19">
      <c r="A229" s="24" t="n">
        <v>5910</v>
      </c>
      <c r="B229" s="25" t="inlineStr">
        <is>
          <t>Automatización Avanzada</t>
        </is>
      </c>
      <c r="C229" s="24" t="inlineStr">
        <is>
          <t>Automatización de Procesos</t>
        </is>
      </c>
      <c r="D229" s="25" t="inlineStr">
        <is>
          <t>Automatización De Procesos Empresariales</t>
        </is>
      </c>
      <c r="E229" s="26" t="n">
        <v>6000</v>
      </c>
      <c r="F229" s="27">
        <f>E229/Config!$B$1</f>
        <v/>
      </c>
      <c r="G229" s="24" t="inlineStr">
        <is>
          <t>Real</t>
        </is>
      </c>
    </row>
    <row r="230" ht="15" customHeight="1" s="19">
      <c r="A230" s="24" t="n">
        <v>7692</v>
      </c>
      <c r="B230" s="25" t="inlineStr">
        <is>
          <t>Automatización Avanzada</t>
        </is>
      </c>
      <c r="C230" s="24" t="inlineStr">
        <is>
          <t>Automatización de Procesos</t>
        </is>
      </c>
      <c r="D230" s="25" t="inlineStr">
        <is>
          <t>Automatización De Procesos Empresariales</t>
        </is>
      </c>
      <c r="E230" s="26" t="n">
        <v>4500</v>
      </c>
      <c r="F230" s="27">
        <f>E230/Config!$B$1</f>
        <v/>
      </c>
      <c r="G230" s="28" t="inlineStr">
        <is>
          <t>Estimado (mediana de categoría)</t>
        </is>
      </c>
    </row>
    <row r="231" ht="23.25" customHeight="1" s="19">
      <c r="A231" s="24" t="n">
        <v>6326</v>
      </c>
      <c r="B231" s="25" t="inlineStr">
        <is>
          <t>Automatización De Procesos</t>
        </is>
      </c>
      <c r="C231" s="24" t="inlineStr">
        <is>
          <t>Automatización de Procesos</t>
        </is>
      </c>
      <c r="D231" s="25" t="inlineStr">
        <is>
          <t>Servicios De Automatización De Procesos Empresariales.</t>
        </is>
      </c>
      <c r="E231" s="26" t="n">
        <v>4500</v>
      </c>
      <c r="F231" s="27">
        <f>E231/Config!$B$1</f>
        <v/>
      </c>
      <c r="G231" s="24" t="inlineStr">
        <is>
          <t>Real</t>
        </is>
      </c>
    </row>
    <row r="232" ht="23.25" customHeight="1" s="19">
      <c r="A232" s="24" t="n">
        <v>8037</v>
      </c>
      <c r="B232" s="25" t="inlineStr">
        <is>
          <t>Automatización De Procesos</t>
        </is>
      </c>
      <c r="C232" s="24" t="inlineStr">
        <is>
          <t>Automatización de Procesos</t>
        </is>
      </c>
      <c r="D232" s="25" t="inlineStr">
        <is>
          <t>Servicios De Automatización De Procesos Empresariales.</t>
        </is>
      </c>
      <c r="E232" s="26" t="n">
        <v>4500</v>
      </c>
      <c r="F232" s="27">
        <f>E232/Config!$B$1</f>
        <v/>
      </c>
      <c r="G232" s="28" t="inlineStr">
        <is>
          <t>Estimado (mediana de categoría)</t>
        </is>
      </c>
    </row>
    <row r="233" ht="15" customHeight="1" s="19">
      <c r="A233" s="24" t="n">
        <v>6140</v>
      </c>
      <c r="B233" s="25" t="inlineStr">
        <is>
          <t>Automatización Empresarial</t>
        </is>
      </c>
      <c r="C233" s="24" t="inlineStr">
        <is>
          <t>Automatización de Procesos</t>
        </is>
      </c>
      <c r="D233" s="25" t="inlineStr">
        <is>
          <t>Automatización Empresarial</t>
        </is>
      </c>
      <c r="E233" s="26" t="n">
        <v>4700</v>
      </c>
      <c r="F233" s="27">
        <f>E233/Config!$B$1</f>
        <v/>
      </c>
      <c r="G233" s="24" t="inlineStr">
        <is>
          <t>Real</t>
        </is>
      </c>
    </row>
    <row r="234" ht="15" customHeight="1" s="19">
      <c r="A234" s="24" t="n">
        <v>7864</v>
      </c>
      <c r="B234" s="25" t="inlineStr">
        <is>
          <t>Automatización Empresarial</t>
        </is>
      </c>
      <c r="C234" s="24" t="inlineStr">
        <is>
          <t>Automatización de Procesos</t>
        </is>
      </c>
      <c r="D234" s="25" t="inlineStr">
        <is>
          <t>Automatización Empresarial</t>
        </is>
      </c>
      <c r="E234" s="26" t="n">
        <v>4500</v>
      </c>
      <c r="F234" s="27">
        <f>E234/Config!$B$1</f>
        <v/>
      </c>
      <c r="G234" s="28" t="inlineStr">
        <is>
          <t>Estimado (mediana de categoría)</t>
        </is>
      </c>
    </row>
    <row r="235" ht="15" customHeight="1" s="19">
      <c r="A235" s="24" t="n">
        <v>6027</v>
      </c>
      <c r="B235" s="25" t="inlineStr">
        <is>
          <t>Automatización RPA</t>
        </is>
      </c>
      <c r="C235" s="24" t="inlineStr">
        <is>
          <t>Automatización de Procesos</t>
        </is>
      </c>
      <c r="D235" s="25" t="inlineStr">
        <is>
          <t>Rpa</t>
        </is>
      </c>
      <c r="E235" s="26" t="n">
        <v>4500</v>
      </c>
      <c r="F235" s="27">
        <f>E235/Config!$B$1</f>
        <v/>
      </c>
      <c r="G235" s="28" t="inlineStr">
        <is>
          <t>Estimado (mediana de categoría)</t>
        </is>
      </c>
    </row>
    <row r="236" ht="23.25" customHeight="1" s="19">
      <c r="A236" s="24" t="n">
        <v>6637</v>
      </c>
      <c r="B236" s="25" t="inlineStr">
        <is>
          <t>Automatización de Marketing con IA</t>
        </is>
      </c>
      <c r="C236" s="24" t="inlineStr">
        <is>
          <t>Automatización de Procesos</t>
        </is>
      </c>
      <c r="D236" s="25" t="inlineStr">
        <is>
          <t>Automatización De Procesos De Marketing Utilizando Ia.</t>
        </is>
      </c>
      <c r="E236" s="26" t="n">
        <v>500</v>
      </c>
      <c r="F236" s="27">
        <f>E236/Config!$B$1</f>
        <v/>
      </c>
      <c r="G236" s="24" t="inlineStr">
        <is>
          <t>Real</t>
        </is>
      </c>
    </row>
    <row r="237" ht="23.25" customHeight="1" s="19">
      <c r="A237" s="24" t="n">
        <v>6652</v>
      </c>
      <c r="B237" s="25" t="inlineStr">
        <is>
          <t>Automatización de Procesos Ecommerce: Optimiza y Agiliza tu Negocio Online</t>
        </is>
      </c>
      <c r="C237" s="24" t="inlineStr">
        <is>
          <t>Automatización de Procesos</t>
        </is>
      </c>
      <c r="D237" s="25" t="inlineStr">
        <is>
          <t>Automatización de Flujos de Trabajo en Ecommerce</t>
        </is>
      </c>
      <c r="E237" s="26" t="n">
        <v>1200</v>
      </c>
      <c r="F237" s="27">
        <f>E237/Config!$B$1</f>
        <v/>
      </c>
      <c r="G237" s="24" t="inlineStr">
        <is>
          <t>Real</t>
        </is>
      </c>
    </row>
    <row r="238" ht="23.25" customHeight="1" s="19">
      <c r="A238" s="24" t="n">
        <v>8353</v>
      </c>
      <c r="B238" s="25" t="inlineStr">
        <is>
          <t>Automatización de Procesos Ecommerce: Optimiza y Agiliza tu Negocio Online</t>
        </is>
      </c>
      <c r="C238" s="24" t="inlineStr">
        <is>
          <t>Automatización de Procesos</t>
        </is>
      </c>
      <c r="D238" s="25" t="inlineStr">
        <is>
          <t>Automatización de Procesos Ecommerce: Optimiza y Agiliza tu Negocio Online</t>
        </is>
      </c>
      <c r="E238" s="26" t="n">
        <v>4500</v>
      </c>
      <c r="F238" s="27">
        <f>E238/Config!$B$1</f>
        <v/>
      </c>
      <c r="G238" s="28" t="inlineStr">
        <is>
          <t>Estimado (mediana de categoría)</t>
        </is>
      </c>
    </row>
    <row r="239" ht="15" customHeight="1" s="19">
      <c r="A239" s="24" t="n">
        <v>6129</v>
      </c>
      <c r="B239" s="25" t="inlineStr">
        <is>
          <t>Automatización de Procesos Empresariales</t>
        </is>
      </c>
      <c r="C239" s="24" t="inlineStr">
        <is>
          <t>Automatización de Procesos</t>
        </is>
      </c>
      <c r="D239" s="25" t="inlineStr">
        <is>
          <t>Automatización De Procesos</t>
        </is>
      </c>
      <c r="E239" s="26" t="n">
        <v>4100</v>
      </c>
      <c r="F239" s="27">
        <f>E239/Config!$B$1</f>
        <v/>
      </c>
      <c r="G239" s="24" t="inlineStr">
        <is>
          <t>Real</t>
        </is>
      </c>
    </row>
    <row r="240" ht="15" customHeight="1" s="19">
      <c r="A240" s="24" t="n">
        <v>7853</v>
      </c>
      <c r="B240" s="25" t="inlineStr">
        <is>
          <t>Automatización de Procesos Empresariales</t>
        </is>
      </c>
      <c r="C240" s="24" t="inlineStr">
        <is>
          <t>Automatización de Procesos</t>
        </is>
      </c>
      <c r="D240" s="25" t="inlineStr">
        <is>
          <t>Automatización De Procesos</t>
        </is>
      </c>
      <c r="E240" s="26" t="n">
        <v>4500</v>
      </c>
      <c r="F240" s="27">
        <f>E240/Config!$B$1</f>
        <v/>
      </c>
      <c r="G240" s="28" t="inlineStr">
        <is>
          <t>Estimado (mediana de categoría)</t>
        </is>
      </c>
    </row>
    <row r="241" ht="15" customHeight="1" s="19">
      <c r="A241" s="24" t="n">
        <v>5963</v>
      </c>
      <c r="B241" s="25" t="inlineStr">
        <is>
          <t>Automatización de Procesos de Negocio (BPA)</t>
        </is>
      </c>
      <c r="C241" s="24" t="inlineStr">
        <is>
          <t>Automatización de Procesos</t>
        </is>
      </c>
      <c r="D241" s="25" t="inlineStr">
        <is>
          <t>Automatización De Procesos</t>
        </is>
      </c>
      <c r="E241" s="26" t="n">
        <v>4500</v>
      </c>
      <c r="F241" s="27">
        <f>E241/Config!$B$1</f>
        <v/>
      </c>
      <c r="G241" s="28" t="inlineStr">
        <is>
          <t>Estimado (mediana de categoría)</t>
        </is>
      </c>
    </row>
    <row r="242" ht="15" customHeight="1" s="19">
      <c r="A242" s="24" t="n">
        <v>6018</v>
      </c>
      <c r="B242" s="25" t="inlineStr">
        <is>
          <t>Automatización de TI</t>
        </is>
      </c>
      <c r="C242" s="24" t="inlineStr">
        <is>
          <t>Automatización de Procesos</t>
        </is>
      </c>
      <c r="D242" s="25" t="inlineStr">
        <is>
          <t>Automatización</t>
        </is>
      </c>
      <c r="E242" s="26" t="n">
        <v>4500</v>
      </c>
      <c r="F242" s="27">
        <f>E242/Config!$B$1</f>
        <v/>
      </c>
      <c r="G242" s="28" t="inlineStr">
        <is>
          <t>Estimado (mediana de categoría)</t>
        </is>
      </c>
    </row>
    <row r="243" ht="15" customHeight="1" s="19">
      <c r="A243" s="24" t="n">
        <v>6638</v>
      </c>
      <c r="B243" s="25" t="inlineStr">
        <is>
          <t>Automatización de Ventas con IA</t>
        </is>
      </c>
      <c r="C243" s="24" t="inlineStr">
        <is>
          <t>Automatización de Procesos</t>
        </is>
      </c>
      <c r="D243" s="25" t="inlineStr">
        <is>
          <t>Automatización De Procesos De Ventas Con Ia.</t>
        </is>
      </c>
      <c r="E243" s="26" t="n">
        <v>800</v>
      </c>
      <c r="F243" s="27">
        <f>E243/Config!$B$1</f>
        <v/>
      </c>
      <c r="G243" s="24" t="inlineStr">
        <is>
          <t>Real</t>
        </is>
      </c>
    </row>
    <row r="244" ht="15" customHeight="1" s="19">
      <c r="A244" s="24" t="n">
        <v>8339</v>
      </c>
      <c r="B244" s="25" t="inlineStr">
        <is>
          <t>Automatización de Ventas con IA</t>
        </is>
      </c>
      <c r="C244" s="24" t="inlineStr">
        <is>
          <t>Automatización de Procesos</t>
        </is>
      </c>
      <c r="D244" s="25" t="inlineStr">
        <is>
          <t>Automatización De Procesos De Ventas Con Ia.</t>
        </is>
      </c>
      <c r="E244" s="26" t="n">
        <v>4500</v>
      </c>
      <c r="F244" s="27">
        <f>E244/Config!$B$1</f>
        <v/>
      </c>
      <c r="G244" s="28" t="inlineStr">
        <is>
          <t>Estimado (mediana de categoría)</t>
        </is>
      </c>
    </row>
    <row r="245" ht="23.25" customHeight="1" s="19">
      <c r="A245" s="24" t="n">
        <v>6086</v>
      </c>
      <c r="B245" s="25" t="inlineStr">
        <is>
          <t>Automatización de operaciones de TI (AIOps)</t>
        </is>
      </c>
      <c r="C245" s="24" t="inlineStr">
        <is>
          <t>Automatización de Procesos</t>
        </is>
      </c>
      <c r="D245" s="25" t="inlineStr">
        <is>
          <t>Soluciones De Automatización De Operaciones De Ti (Aiops).</t>
        </is>
      </c>
      <c r="E245" s="26" t="n">
        <v>6500</v>
      </c>
      <c r="F245" s="27">
        <f>E245/Config!$B$1</f>
        <v/>
      </c>
      <c r="G245" s="24" t="inlineStr">
        <is>
          <t>Real</t>
        </is>
      </c>
    </row>
    <row r="246" ht="23.25" customHeight="1" s="19">
      <c r="A246" s="24" t="n">
        <v>7810</v>
      </c>
      <c r="B246" s="25" t="inlineStr">
        <is>
          <t>Automatización de operaciones de TI (AIOps)</t>
        </is>
      </c>
      <c r="C246" s="24" t="inlineStr">
        <is>
          <t>Automatización de Procesos</t>
        </is>
      </c>
      <c r="D246" s="25" t="inlineStr">
        <is>
          <t>Soluciones De Automatización De Operaciones De Ti (Aiops).</t>
        </is>
      </c>
      <c r="E246" s="26" t="n">
        <v>4500</v>
      </c>
      <c r="F246" s="27">
        <f>E246/Config!$B$1</f>
        <v/>
      </c>
      <c r="G246" s="28" t="inlineStr">
        <is>
          <t>Estimado (mediana de categoría)</t>
        </is>
      </c>
    </row>
    <row r="247" ht="15" customHeight="1" s="19">
      <c r="A247" s="24" t="n">
        <v>5927</v>
      </c>
      <c r="B247" s="25" t="inlineStr">
        <is>
          <t>Automatización de procesos robóticos (RPA)</t>
        </is>
      </c>
      <c r="C247" s="24" t="inlineStr">
        <is>
          <t>Automatización de Procesos</t>
        </is>
      </c>
      <c r="D247" s="25" t="inlineStr">
        <is>
          <t>Automatización De Procesos Robóticos</t>
        </is>
      </c>
      <c r="E247" s="26" t="n">
        <v>6000</v>
      </c>
      <c r="F247" s="27">
        <f>E247/Config!$B$1</f>
        <v/>
      </c>
      <c r="G247" s="24" t="inlineStr">
        <is>
          <t>Real</t>
        </is>
      </c>
    </row>
    <row r="248" ht="15" customHeight="1" s="19">
      <c r="A248" s="24" t="n">
        <v>7709</v>
      </c>
      <c r="B248" s="25" t="inlineStr">
        <is>
          <t>Automatización de procesos robóticos (RPA)</t>
        </is>
      </c>
      <c r="C248" s="24" t="inlineStr">
        <is>
          <t>Automatización de Procesos</t>
        </is>
      </c>
      <c r="D248" s="25" t="inlineStr">
        <is>
          <t>Automatización De Procesos Robóticos</t>
        </is>
      </c>
      <c r="E248" s="26" t="n">
        <v>4500</v>
      </c>
      <c r="F248" s="27">
        <f>E248/Config!$B$1</f>
        <v/>
      </c>
      <c r="G248" s="28" t="inlineStr">
        <is>
          <t>Estimado (mediana de categoría)</t>
        </is>
      </c>
    </row>
    <row r="249" ht="23.25" customHeight="1" s="19">
      <c r="A249" s="24" t="n">
        <v>7727</v>
      </c>
      <c r="B249" s="25" t="inlineStr">
        <is>
          <t>Consultoría en Optimización de Procesos de Negocio (BPO)</t>
        </is>
      </c>
      <c r="C249" s="24" t="inlineStr">
        <is>
          <t>Automatización de Procesos</t>
        </is>
      </c>
      <c r="D249" s="25" t="inlineStr">
        <is>
          <t>Optimización De Procesos De Negocio</t>
        </is>
      </c>
      <c r="E249" s="26" t="n">
        <v>4500</v>
      </c>
      <c r="F249" s="27">
        <f>E249/Config!$B$1</f>
        <v/>
      </c>
      <c r="G249" s="28" t="inlineStr">
        <is>
          <t>Estimado (mediana de categoría)</t>
        </is>
      </c>
    </row>
    <row r="250" ht="15" customHeight="1" s="19">
      <c r="A250" s="24" t="n">
        <v>7621</v>
      </c>
      <c r="B250" s="25" t="inlineStr">
        <is>
          <t>Consultoría en digitalización de procesos</t>
        </is>
      </c>
      <c r="C250" s="24" t="inlineStr">
        <is>
          <t>Automatización de Procesos</t>
        </is>
      </c>
      <c r="D250" s="25" t="inlineStr">
        <is>
          <t>Consultoría En Digitalización De Procesos</t>
        </is>
      </c>
      <c r="E250" s="26" t="n">
        <v>990</v>
      </c>
      <c r="F250" s="27">
        <f>E250/Config!$B$1</f>
        <v/>
      </c>
      <c r="G250" s="24" t="inlineStr">
        <is>
          <t>Real</t>
        </is>
      </c>
    </row>
    <row r="251" ht="15" customHeight="1" s="19">
      <c r="A251" s="24" t="n">
        <v>6768</v>
      </c>
      <c r="B251" s="25" t="inlineStr">
        <is>
          <t>Gestión de Flotas y Rutas</t>
        </is>
      </c>
      <c r="C251" s="24" t="inlineStr">
        <is>
          <t>Automatización de Procesos</t>
        </is>
      </c>
      <c r="D251" s="25" t="inlineStr">
        <is>
          <t>Gestión De Flotas</t>
        </is>
      </c>
      <c r="E251" s="26" t="n">
        <v>2800</v>
      </c>
      <c r="F251" s="27">
        <f>E251/Config!$B$1</f>
        <v/>
      </c>
      <c r="G251" s="24" t="inlineStr">
        <is>
          <t>Real</t>
        </is>
      </c>
    </row>
    <row r="252" ht="15" customHeight="1" s="19">
      <c r="A252" s="24" t="n">
        <v>6733</v>
      </c>
      <c r="B252" s="25" t="inlineStr">
        <is>
          <t>Implementación De Sistemas De Automatización</t>
        </is>
      </c>
      <c r="C252" s="24" t="inlineStr">
        <is>
          <t>Automatización de Procesos</t>
        </is>
      </c>
      <c r="D252" s="25" t="inlineStr">
        <is>
          <t>Automatización De Sistemas.</t>
        </is>
      </c>
      <c r="E252" s="26" t="n">
        <v>3000</v>
      </c>
      <c r="F252" s="27">
        <f>E252/Config!$B$1</f>
        <v/>
      </c>
      <c r="G252" s="24" t="inlineStr">
        <is>
          <t>Real</t>
        </is>
      </c>
    </row>
    <row r="253" ht="23.25" customHeight="1" s="19">
      <c r="A253" s="24" t="n">
        <v>7755</v>
      </c>
      <c r="B253" s="25" t="inlineStr">
        <is>
          <t>Implementación de AIOps: Automatiza tus operaciones de TI para mayor eficiencia y agilidad</t>
        </is>
      </c>
      <c r="C253" s="24" t="inlineStr">
        <is>
          <t>Automatización de Procesos</t>
        </is>
      </c>
      <c r="D253" s="25" t="inlineStr">
        <is>
          <t>Implementación de AIOps: Automatiza tus operaciones de TI para mayor eficiencia y agilidad</t>
        </is>
      </c>
      <c r="E253" s="26" t="n">
        <v>4500</v>
      </c>
      <c r="F253" s="27">
        <f>E253/Config!$B$1</f>
        <v/>
      </c>
      <c r="G253" s="28" t="inlineStr">
        <is>
          <t>Estimado (mediana de categoría)</t>
        </is>
      </c>
    </row>
    <row r="254" ht="15" customHeight="1" s="19">
      <c r="A254" s="24" t="n">
        <v>6760</v>
      </c>
      <c r="B254" s="25" t="inlineStr">
        <is>
          <t>Implementación de Herramientas de Automatización</t>
        </is>
      </c>
      <c r="C254" s="24" t="inlineStr">
        <is>
          <t>Automatización de Procesos</t>
        </is>
      </c>
      <c r="D254" s="25" t="inlineStr">
        <is>
          <t>Herramientas De Automatización</t>
        </is>
      </c>
      <c r="E254" s="26" t="n">
        <v>6800</v>
      </c>
      <c r="F254" s="27">
        <f>E254/Config!$B$1</f>
        <v/>
      </c>
      <c r="G254" s="24" t="inlineStr">
        <is>
          <t>Real</t>
        </is>
      </c>
    </row>
    <row r="255" ht="15" customHeight="1" s="19">
      <c r="A255" s="24" t="n">
        <v>6771</v>
      </c>
      <c r="B255" s="25" t="inlineStr">
        <is>
          <t>Implementación de Herramientas de Gestión de Flotas</t>
        </is>
      </c>
      <c r="C255" s="24" t="inlineStr">
        <is>
          <t>Automatización de Procesos</t>
        </is>
      </c>
      <c r="D255" s="25" t="inlineStr">
        <is>
          <t>Gestión De Flotas</t>
        </is>
      </c>
      <c r="E255" s="26" t="n">
        <v>3800</v>
      </c>
      <c r="F255" s="27">
        <f>E255/Config!$B$1</f>
        <v/>
      </c>
      <c r="G255" s="24" t="inlineStr">
        <is>
          <t>Real</t>
        </is>
      </c>
    </row>
    <row r="256" ht="15" customHeight="1" s="19">
      <c r="A256" s="24" t="n">
        <v>6729</v>
      </c>
      <c r="B256" s="25" t="inlineStr">
        <is>
          <t>Implementación de RPA</t>
        </is>
      </c>
      <c r="C256" s="24" t="inlineStr">
        <is>
          <t>Automatización de Procesos</t>
        </is>
      </c>
      <c r="D256" s="25" t="inlineStr">
        <is>
          <t>Implementación De Rpa.</t>
        </is>
      </c>
      <c r="E256" s="26" t="n">
        <v>2500</v>
      </c>
      <c r="F256" s="27">
        <f>E256/Config!$B$1</f>
        <v/>
      </c>
      <c r="G256" s="24" t="inlineStr">
        <is>
          <t>Real</t>
        </is>
      </c>
    </row>
    <row r="257" ht="15" customHeight="1" s="19">
      <c r="A257" s="24" t="n">
        <v>6216</v>
      </c>
      <c r="B257" s="25" t="inlineStr">
        <is>
          <t>Implementación de Soluciones BPM</t>
        </is>
      </c>
      <c r="C257" s="24" t="inlineStr">
        <is>
          <t>Automatización de Procesos</t>
        </is>
      </c>
      <c r="D257" s="25" t="inlineStr">
        <is>
          <t>Soluciones De Gestión De Procesos</t>
        </is>
      </c>
      <c r="E257" s="26" t="n">
        <v>2700</v>
      </c>
      <c r="F257" s="27">
        <f>E257/Config!$B$1</f>
        <v/>
      </c>
      <c r="G257" s="24" t="inlineStr">
        <is>
          <t>Real</t>
        </is>
      </c>
    </row>
    <row r="258" ht="15" customHeight="1" s="19">
      <c r="A258" s="24" t="n">
        <v>7940</v>
      </c>
      <c r="B258" s="25" t="inlineStr">
        <is>
          <t>Implementación de Soluciones BPM</t>
        </is>
      </c>
      <c r="C258" s="24" t="inlineStr">
        <is>
          <t>Automatización de Procesos</t>
        </is>
      </c>
      <c r="D258" s="25" t="inlineStr">
        <is>
          <t>Soluciones De Gestión De Procesos</t>
        </is>
      </c>
      <c r="E258" s="26" t="n">
        <v>4500</v>
      </c>
      <c r="F258" s="27">
        <f>E258/Config!$B$1</f>
        <v/>
      </c>
      <c r="G258" s="28" t="inlineStr">
        <is>
          <t>Estimado (mediana de categoría)</t>
        </is>
      </c>
    </row>
    <row r="259" ht="15" customHeight="1" s="19">
      <c r="A259" s="24" t="n">
        <v>6031</v>
      </c>
      <c r="B259" s="25" t="inlineStr">
        <is>
          <t>Implementación de Soluciones de AIOps</t>
        </is>
      </c>
      <c r="C259" s="24" t="inlineStr">
        <is>
          <t>Automatización de Procesos</t>
        </is>
      </c>
      <c r="D259" s="25" t="inlineStr">
        <is>
          <t>Automatización De Operaciones De Ti</t>
        </is>
      </c>
      <c r="E259" s="26" t="n">
        <v>8500</v>
      </c>
      <c r="F259" s="27">
        <f>E259/Config!$B$1</f>
        <v/>
      </c>
      <c r="G259" s="24" t="inlineStr">
        <is>
          <t>Real</t>
        </is>
      </c>
    </row>
    <row r="260" ht="15" customHeight="1" s="19">
      <c r="A260" s="24" t="n">
        <v>7777</v>
      </c>
      <c r="B260" s="25" t="inlineStr">
        <is>
          <t>Implementación de Soluciones de AIOps</t>
        </is>
      </c>
      <c r="C260" s="24" t="inlineStr">
        <is>
          <t>Automatización de Procesos</t>
        </is>
      </c>
      <c r="D260" s="25" t="inlineStr">
        <is>
          <t>Automatización De Operaciones De Ti</t>
        </is>
      </c>
      <c r="E260" s="26" t="n">
        <v>4500</v>
      </c>
      <c r="F260" s="27">
        <f>E260/Config!$B$1</f>
        <v/>
      </c>
      <c r="G260" s="28" t="inlineStr">
        <is>
          <t>Estimado (mediana de categoría)</t>
        </is>
      </c>
    </row>
    <row r="261" ht="23.25" customHeight="1" s="19">
      <c r="A261" s="24" t="n">
        <v>5877</v>
      </c>
      <c r="B261" s="25" t="inlineStr">
        <is>
          <t>Implementación de Soluciones de Automatización de Procesos Robóticos</t>
        </is>
      </c>
      <c r="C261" s="24" t="inlineStr">
        <is>
          <t>Automatización de Procesos</t>
        </is>
      </c>
      <c r="D261" s="25" t="inlineStr">
        <is>
          <t>Automatización De Procesos Robóticos</t>
        </is>
      </c>
      <c r="E261" s="26" t="n">
        <v>8000</v>
      </c>
      <c r="F261" s="27">
        <f>E261/Config!$B$1</f>
        <v/>
      </c>
      <c r="G261" s="24" t="inlineStr">
        <is>
          <t>Real</t>
        </is>
      </c>
    </row>
    <row r="262" ht="23.25" customHeight="1" s="19">
      <c r="A262" s="24" t="n">
        <v>7659</v>
      </c>
      <c r="B262" s="25" t="inlineStr">
        <is>
          <t>Implementación de Soluciones de Automatización de Procesos Robóticos</t>
        </is>
      </c>
      <c r="C262" s="24" t="inlineStr">
        <is>
          <t>Automatización de Procesos</t>
        </is>
      </c>
      <c r="D262" s="25" t="inlineStr">
        <is>
          <t>Automatización De Procesos Robóticos</t>
        </is>
      </c>
      <c r="E262" s="26" t="n">
        <v>4500</v>
      </c>
      <c r="F262" s="27">
        <f>E262/Config!$B$1</f>
        <v/>
      </c>
      <c r="G262" s="28" t="inlineStr">
        <is>
          <t>Estimado (mediana de categoría)</t>
        </is>
      </c>
    </row>
    <row r="263" ht="23.25" customHeight="1" s="19">
      <c r="A263" s="24" t="n">
        <v>5939</v>
      </c>
      <c r="B263" s="25" t="inlineStr">
        <is>
          <t>Implementación de Soluciones de Automatización de Procesos Robóticos (RPA)</t>
        </is>
      </c>
      <c r="C263" s="24" t="inlineStr">
        <is>
          <t>Automatización de Procesos</t>
        </is>
      </c>
      <c r="D263" s="25" t="inlineStr">
        <is>
          <t>Automatización De Procesos Robóticos</t>
        </is>
      </c>
      <c r="E263" s="26" t="n">
        <v>7000</v>
      </c>
      <c r="F263" s="27">
        <f>E263/Config!$B$1</f>
        <v/>
      </c>
      <c r="G263" s="24" t="inlineStr">
        <is>
          <t>Real</t>
        </is>
      </c>
    </row>
    <row r="264" ht="23.25" customHeight="1" s="19">
      <c r="A264" s="24" t="n">
        <v>7721</v>
      </c>
      <c r="B264" s="25" t="inlineStr">
        <is>
          <t>Implementación de Soluciones de Automatización de Procesos Robóticos (RPA)</t>
        </is>
      </c>
      <c r="C264" s="24" t="inlineStr">
        <is>
          <t>Automatización de Procesos</t>
        </is>
      </c>
      <c r="D264" s="25" t="inlineStr">
        <is>
          <t>Automatización De Procesos Robóticos</t>
        </is>
      </c>
      <c r="E264" s="26" t="n">
        <v>4500</v>
      </c>
      <c r="F264" s="27">
        <f>E264/Config!$B$1</f>
        <v/>
      </c>
      <c r="G264" s="28" t="inlineStr">
        <is>
          <t>Estimado (mediana de categoría)</t>
        </is>
      </c>
    </row>
    <row r="265" ht="23.25" customHeight="1" s="19">
      <c r="A265" s="24" t="n">
        <v>5992</v>
      </c>
      <c r="B265" s="25" t="inlineStr">
        <is>
          <t>Implementación de soluciones de automatización de operaciones de TI (AIOps)</t>
        </is>
      </c>
      <c r="C265" s="24" t="inlineStr">
        <is>
          <t>Automatización de Procesos</t>
        </is>
      </c>
      <c r="D265" s="25" t="n"/>
      <c r="E265" s="26" t="n">
        <v>16200</v>
      </c>
      <c r="F265" s="27">
        <f>E265/Config!$B$1</f>
        <v/>
      </c>
      <c r="G265" s="24" t="inlineStr">
        <is>
          <t>Real</t>
        </is>
      </c>
    </row>
    <row r="266" ht="23.25" customHeight="1" s="19">
      <c r="A266" s="24" t="n">
        <v>7593</v>
      </c>
      <c r="B266" s="25" t="inlineStr">
        <is>
          <t>Implementación de soluciones de automatización de procesos</t>
        </is>
      </c>
      <c r="C266" s="24" t="inlineStr">
        <is>
          <t>Automatización de Procesos</t>
        </is>
      </c>
      <c r="D266" s="25" t="inlineStr">
        <is>
          <t>Automatización De Procesos</t>
        </is>
      </c>
      <c r="E266" s="26" t="n">
        <v>1080</v>
      </c>
      <c r="F266" s="27">
        <f>E266/Config!$B$1</f>
        <v/>
      </c>
      <c r="G266" s="24" t="inlineStr">
        <is>
          <t>Real</t>
        </is>
      </c>
    </row>
    <row r="267" ht="23.25" customHeight="1" s="19">
      <c r="A267" s="24" t="n">
        <v>5983</v>
      </c>
      <c r="B267" s="25" t="inlineStr">
        <is>
          <t>Implementación de soluciones de automatización de procesos de negocio (BPA)</t>
        </is>
      </c>
      <c r="C267" s="24" t="inlineStr">
        <is>
          <t>Automatización de Procesos</t>
        </is>
      </c>
      <c r="D267" s="25" t="inlineStr">
        <is>
          <t>Automatización De Procesos De Negocio</t>
        </is>
      </c>
      <c r="E267" s="26" t="n">
        <v>16200</v>
      </c>
      <c r="F267" s="27">
        <f>E267/Config!$B$1</f>
        <v/>
      </c>
      <c r="G267" s="24" t="inlineStr">
        <is>
          <t>Real</t>
        </is>
      </c>
    </row>
    <row r="268" ht="23.25" customHeight="1" s="19">
      <c r="A268" s="24" t="n">
        <v>7746</v>
      </c>
      <c r="B268" s="25" t="inlineStr">
        <is>
          <t>Implementación de soluciones de automatización de procesos de negocio (BPA)</t>
        </is>
      </c>
      <c r="C268" s="24" t="inlineStr">
        <is>
          <t>Automatización de Procesos</t>
        </is>
      </c>
      <c r="D268" s="25" t="inlineStr">
        <is>
          <t>Automatización De Procesos De Negocio</t>
        </is>
      </c>
      <c r="E268" s="26" t="n">
        <v>4500</v>
      </c>
      <c r="F268" s="27">
        <f>E268/Config!$B$1</f>
        <v/>
      </c>
      <c r="G268" s="28" t="inlineStr">
        <is>
          <t>Estimado (mediana de categoría)</t>
        </is>
      </c>
    </row>
    <row r="269" ht="34.5" customHeight="1" s="19">
      <c r="A269" s="24" t="n">
        <v>6003</v>
      </c>
      <c r="B269" s="25" t="inlineStr">
        <is>
          <t>Implementación de soluciones de automatización de procesos robóticos (RPA) avanzada con capacidades cognitivas</t>
        </is>
      </c>
      <c r="C269" s="24" t="inlineStr">
        <is>
          <t>Automatización de Procesos</t>
        </is>
      </c>
      <c r="D269" s="25" t="inlineStr">
        <is>
          <t>Automatización</t>
        </is>
      </c>
      <c r="E269" s="26" t="n">
        <v>18000</v>
      </c>
      <c r="F269" s="27">
        <f>E269/Config!$B$1</f>
        <v/>
      </c>
      <c r="G269" s="24" t="inlineStr">
        <is>
          <t>Real</t>
        </is>
      </c>
    </row>
    <row r="270" ht="34.5" customHeight="1" s="19">
      <c r="A270" s="24" t="n">
        <v>7766</v>
      </c>
      <c r="B270" s="25" t="inlineStr">
        <is>
          <t>Implementación de soluciones de automatización de procesos robóticos (RPA) avanzada con capacidades cognitivas</t>
        </is>
      </c>
      <c r="C270" s="24" t="inlineStr">
        <is>
          <t>Automatización de Procesos</t>
        </is>
      </c>
      <c r="D270" s="25" t="inlineStr">
        <is>
          <t>Automatización</t>
        </is>
      </c>
      <c r="E270" s="26" t="n">
        <v>4500</v>
      </c>
      <c r="F270" s="27">
        <f>E270/Config!$B$1</f>
        <v/>
      </c>
      <c r="G270" s="28" t="inlineStr">
        <is>
          <t>Estimado (mediana de categoría)</t>
        </is>
      </c>
    </row>
    <row r="271" ht="34.5" customHeight="1" s="19">
      <c r="A271" s="24" t="n">
        <v>5988</v>
      </c>
      <c r="B271" s="25" t="inlineStr">
        <is>
          <t>Implementación de soluciones de inteligencia artificial (IA) y aprendizaje automático (ML) para automatización de procesos</t>
        </is>
      </c>
      <c r="C271" s="24" t="inlineStr">
        <is>
          <t>Automatización de Procesos</t>
        </is>
      </c>
      <c r="D271" s="25" t="inlineStr">
        <is>
          <t>Automatización De Procesos Con Ia Y Ml</t>
        </is>
      </c>
      <c r="E271" s="26" t="n">
        <v>18000</v>
      </c>
      <c r="F271" s="27">
        <f>E271/Config!$B$1</f>
        <v/>
      </c>
      <c r="G271" s="24" t="inlineStr">
        <is>
          <t>Real</t>
        </is>
      </c>
    </row>
    <row r="272" ht="34.5" customHeight="1" s="19">
      <c r="A272" s="24" t="n">
        <v>7751</v>
      </c>
      <c r="B272" s="25" t="inlineStr">
        <is>
          <t>Implementación de soluciones de inteligencia artificial (IA) y aprendizaje automático (ML) para automatización de procesos</t>
        </is>
      </c>
      <c r="C272" s="24" t="inlineStr">
        <is>
          <t>Automatización de Procesos</t>
        </is>
      </c>
      <c r="D272" s="25" t="inlineStr">
        <is>
          <t>Automatización De Procesos Con Ia Y Ml</t>
        </is>
      </c>
      <c r="E272" s="26" t="n">
        <v>4500</v>
      </c>
      <c r="F272" s="27">
        <f>E272/Config!$B$1</f>
        <v/>
      </c>
      <c r="G272" s="28" t="inlineStr">
        <is>
          <t>Estimado (mediana de categoría)</t>
        </is>
      </c>
    </row>
    <row r="273" ht="15" customHeight="1" s="19">
      <c r="A273" s="24" t="n">
        <v>6218</v>
      </c>
      <c r="B273" s="25" t="inlineStr">
        <is>
          <t>Integración de Sistemas</t>
        </is>
      </c>
      <c r="C273" s="24" t="inlineStr">
        <is>
          <t>Automatización de Procesos</t>
        </is>
      </c>
      <c r="D273" s="25" t="inlineStr">
        <is>
          <t>Integración De Sistemas Empresariales</t>
        </is>
      </c>
      <c r="E273" s="26" t="n">
        <v>3700</v>
      </c>
      <c r="F273" s="27">
        <f>E273/Config!$B$1</f>
        <v/>
      </c>
      <c r="G273" s="24" t="inlineStr">
        <is>
          <t>Real</t>
        </is>
      </c>
    </row>
    <row r="274" ht="15" customHeight="1" s="19">
      <c r="A274" s="24" t="n">
        <v>6128</v>
      </c>
      <c r="B274" s="25" t="inlineStr">
        <is>
          <t>Integración de Sistemas y Aplicaciones</t>
        </is>
      </c>
      <c r="C274" s="24" t="inlineStr">
        <is>
          <t>Automatización de Procesos</t>
        </is>
      </c>
      <c r="D274" s="25" t="inlineStr">
        <is>
          <t>Integración De Sistemas</t>
        </is>
      </c>
      <c r="E274" s="26" t="n">
        <v>4300</v>
      </c>
      <c r="F274" s="27">
        <f>E274/Config!$B$1</f>
        <v/>
      </c>
      <c r="G274" s="24" t="inlineStr">
        <is>
          <t>Real</t>
        </is>
      </c>
    </row>
    <row r="275" ht="15" customHeight="1" s="19">
      <c r="A275" s="24" t="n">
        <v>6094</v>
      </c>
      <c r="B275" s="25" t="inlineStr">
        <is>
          <t>Migración de Sistemas Legacy</t>
        </is>
      </c>
      <c r="C275" s="24" t="inlineStr">
        <is>
          <t>Automatización de Procesos</t>
        </is>
      </c>
      <c r="D275" s="25" t="inlineStr">
        <is>
          <t>Migración De Sistemas Legacy</t>
        </is>
      </c>
      <c r="E275" s="26" t="n">
        <v>6000</v>
      </c>
      <c r="F275" s="27">
        <f>E275/Config!$B$1</f>
        <v/>
      </c>
      <c r="G275" s="24" t="inlineStr">
        <is>
          <t>Real</t>
        </is>
      </c>
    </row>
    <row r="276" ht="15" customHeight="1" s="19">
      <c r="A276" s="24" t="n">
        <v>6091</v>
      </c>
      <c r="B276" s="25" t="inlineStr">
        <is>
          <t>Migración de aplicaciones legacy</t>
        </is>
      </c>
      <c r="C276" s="24" t="inlineStr">
        <is>
          <t>Automatización de Procesos</t>
        </is>
      </c>
      <c r="D276" s="25" t="inlineStr">
        <is>
          <t>Migración De Aplicaciones Legacy A Microservicios.</t>
        </is>
      </c>
      <c r="E276" s="26" t="n">
        <v>6500</v>
      </c>
      <c r="F276" s="27">
        <f>E276/Config!$B$1</f>
        <v/>
      </c>
      <c r="G276" s="24" t="inlineStr">
        <is>
          <t>Real</t>
        </is>
      </c>
    </row>
    <row r="277" ht="15" customHeight="1" s="19">
      <c r="A277" s="24" t="n">
        <v>6202</v>
      </c>
      <c r="B277" s="25" t="inlineStr">
        <is>
          <t>Optimización de Energía y Recursos</t>
        </is>
      </c>
      <c r="C277" s="24" t="inlineStr">
        <is>
          <t>Automatización de Procesos</t>
        </is>
      </c>
      <c r="D277" s="25" t="inlineStr">
        <is>
          <t>Optimización De Energía</t>
        </is>
      </c>
      <c r="E277" s="26" t="n">
        <v>230</v>
      </c>
      <c r="F277" s="27">
        <f>E277/Config!$B$1</f>
        <v/>
      </c>
      <c r="G277" s="24" t="inlineStr">
        <is>
          <t>Real</t>
        </is>
      </c>
    </row>
    <row r="278" ht="15" customHeight="1" s="19">
      <c r="A278" s="24" t="n">
        <v>6208</v>
      </c>
      <c r="B278" s="25" t="inlineStr">
        <is>
          <t>Optimización de Energía y Sustentabilidad</t>
        </is>
      </c>
      <c r="C278" s="24" t="inlineStr">
        <is>
          <t>Automatización de Procesos</t>
        </is>
      </c>
      <c r="D278" s="25" t="inlineStr">
        <is>
          <t>Optimización De Energía</t>
        </is>
      </c>
      <c r="E278" s="26" t="n">
        <v>220</v>
      </c>
      <c r="F278" s="27">
        <f>E278/Config!$B$1</f>
        <v/>
      </c>
      <c r="G278" s="24" t="inlineStr">
        <is>
          <t>Real</t>
        </is>
      </c>
    </row>
    <row r="279" ht="15" customHeight="1" s="19">
      <c r="A279" s="24" t="n">
        <v>6144</v>
      </c>
      <c r="B279" s="25" t="inlineStr">
        <is>
          <t>Optimización de Procesos Empresariales</t>
        </is>
      </c>
      <c r="C279" s="24" t="inlineStr">
        <is>
          <t>Automatización de Procesos</t>
        </is>
      </c>
      <c r="D279" s="25" t="inlineStr">
        <is>
          <t>Optimización De Procesos Internos.</t>
        </is>
      </c>
      <c r="E279" s="26" t="n">
        <v>350</v>
      </c>
      <c r="F279" s="27">
        <f>E279/Config!$B$1</f>
        <v/>
      </c>
      <c r="G279" s="24" t="inlineStr">
        <is>
          <t>Real</t>
        </is>
      </c>
    </row>
    <row r="280" ht="15" customHeight="1" s="19">
      <c r="A280" s="24" t="n">
        <v>7868</v>
      </c>
      <c r="B280" s="25" t="inlineStr">
        <is>
          <t>Optimización de Procesos Empresariales</t>
        </is>
      </c>
      <c r="C280" s="24" t="inlineStr">
        <is>
          <t>Automatización de Procesos</t>
        </is>
      </c>
      <c r="D280" s="25" t="inlineStr">
        <is>
          <t>Optimización De Procesos Internos.</t>
        </is>
      </c>
      <c r="E280" s="26" t="n">
        <v>4500</v>
      </c>
      <c r="F280" s="27">
        <f>E280/Config!$B$1</f>
        <v/>
      </c>
      <c r="G280" s="28" t="inlineStr">
        <is>
          <t>Estimado (mediana de categoría)</t>
        </is>
      </c>
    </row>
    <row r="281" ht="15" customHeight="1" s="19">
      <c r="A281" s="24" t="n">
        <v>5933</v>
      </c>
      <c r="B281" s="25" t="inlineStr">
        <is>
          <t>Optimización de procesos industriales</t>
        </is>
      </c>
      <c r="C281" s="24" t="inlineStr">
        <is>
          <t>Automatización de Procesos</t>
        </is>
      </c>
      <c r="D281" s="25" t="inlineStr">
        <is>
          <t>Optimización De Procesos Industriales</t>
        </is>
      </c>
      <c r="E281" s="26" t="n">
        <v>6000</v>
      </c>
      <c r="F281" s="27">
        <f>E281/Config!$B$1</f>
        <v/>
      </c>
      <c r="G281" s="24" t="inlineStr">
        <is>
          <t>Real</t>
        </is>
      </c>
    </row>
    <row r="282" ht="15" customHeight="1" s="19">
      <c r="A282" s="24" t="n">
        <v>7715</v>
      </c>
      <c r="B282" s="25" t="inlineStr">
        <is>
          <t>Optimización de procesos industriales</t>
        </is>
      </c>
      <c r="C282" s="24" t="inlineStr">
        <is>
          <t>Automatización de Procesos</t>
        </is>
      </c>
      <c r="D282" s="25" t="inlineStr">
        <is>
          <t>Optimización De Procesos Industriales</t>
        </is>
      </c>
      <c r="E282" s="26" t="n">
        <v>4500</v>
      </c>
      <c r="F282" s="27">
        <f>E282/Config!$B$1</f>
        <v/>
      </c>
      <c r="G282" s="28" t="inlineStr">
        <is>
          <t>Estimado (mediana de categoría)</t>
        </is>
      </c>
    </row>
    <row r="283" ht="23.25" customHeight="1" s="19">
      <c r="A283" s="24" t="n">
        <v>6340</v>
      </c>
      <c r="B283" s="25" t="inlineStr">
        <is>
          <t>Outsourcing de procesos de negocio</t>
        </is>
      </c>
      <c r="C283" s="24" t="inlineStr">
        <is>
          <t>Automatización de Procesos</t>
        </is>
      </c>
      <c r="D283" s="25" t="inlineStr">
        <is>
          <t>Servicios De Outsourcing Para Optimizar Y Gestionar Operaciones Clave Del Negocio.</t>
        </is>
      </c>
      <c r="E283" s="26" t="n">
        <v>22500</v>
      </c>
      <c r="F283" s="27">
        <f>E283/Config!$B$1</f>
        <v/>
      </c>
      <c r="G283" s="24" t="inlineStr">
        <is>
          <t>Real</t>
        </is>
      </c>
    </row>
    <row r="284" ht="23.25" customHeight="1" s="19">
      <c r="A284" s="24" t="n">
        <v>8051</v>
      </c>
      <c r="B284" s="25" t="inlineStr">
        <is>
          <t>Outsourcing de procesos de negocio</t>
        </is>
      </c>
      <c r="C284" s="24" t="inlineStr">
        <is>
          <t>Automatización de Procesos</t>
        </is>
      </c>
      <c r="D284" s="25" t="inlineStr">
        <is>
          <t>Servicios De Outsourcing Para Optimizar Y Gestionar Operaciones Clave Del Negocio.</t>
        </is>
      </c>
      <c r="E284" s="26" t="n">
        <v>4500</v>
      </c>
      <c r="F284" s="27">
        <f>E284/Config!$B$1</f>
        <v/>
      </c>
      <c r="G284" s="28" t="inlineStr">
        <is>
          <t>Estimado (mediana de categoría)</t>
        </is>
      </c>
    </row>
    <row r="285" ht="15" customHeight="1" s="19">
      <c r="A285" s="24" t="n">
        <v>6751</v>
      </c>
      <c r="B285" s="25" t="inlineStr">
        <is>
          <t>Plataforma para Automatización de Procesos</t>
        </is>
      </c>
      <c r="C285" s="24" t="inlineStr">
        <is>
          <t>Automatización de Procesos</t>
        </is>
      </c>
      <c r="D285" s="25" t="inlineStr">
        <is>
          <t>Automatización De Procesos</t>
        </is>
      </c>
      <c r="E285" s="26" t="n">
        <v>3500</v>
      </c>
      <c r="F285" s="27">
        <f>E285/Config!$B$1</f>
        <v/>
      </c>
      <c r="G285" s="24" t="inlineStr">
        <is>
          <t>Real</t>
        </is>
      </c>
    </row>
    <row r="286" ht="15" customHeight="1" s="19">
      <c r="A286" s="24" t="n">
        <v>6181</v>
      </c>
      <c r="B286" s="25" t="inlineStr">
        <is>
          <t>Plataformas de Automatización</t>
        </is>
      </c>
      <c r="C286" s="24" t="inlineStr">
        <is>
          <t>Automatización de Procesos</t>
        </is>
      </c>
      <c r="D286" s="25" t="inlineStr">
        <is>
          <t>Automatización De Procesos Con Ia</t>
        </is>
      </c>
      <c r="E286" s="26" t="n">
        <v>120</v>
      </c>
      <c r="F286" s="27">
        <f>E286/Config!$B$1</f>
        <v/>
      </c>
      <c r="G286" s="24" t="inlineStr">
        <is>
          <t>Real</t>
        </is>
      </c>
    </row>
    <row r="287" ht="15" customHeight="1" s="19">
      <c r="A287" s="24" t="n">
        <v>7905</v>
      </c>
      <c r="B287" s="25" t="inlineStr">
        <is>
          <t>Plataformas de Automatización</t>
        </is>
      </c>
      <c r="C287" s="24" t="inlineStr">
        <is>
          <t>Automatización de Procesos</t>
        </is>
      </c>
      <c r="D287" s="25" t="inlineStr">
        <is>
          <t>Automatización De Procesos Con Ia</t>
        </is>
      </c>
      <c r="E287" s="26" t="n">
        <v>4500</v>
      </c>
      <c r="F287" s="27">
        <f>E287/Config!$B$1</f>
        <v/>
      </c>
      <c r="G287" s="28" t="inlineStr">
        <is>
          <t>Estimado (mediana de categoría)</t>
        </is>
      </c>
    </row>
    <row r="288" ht="15" customHeight="1" s="19">
      <c r="A288" s="24" t="n">
        <v>6301</v>
      </c>
      <c r="B288" s="25" t="inlineStr">
        <is>
          <t>Plataformas para Automatización</t>
        </is>
      </c>
      <c r="C288" s="24" t="inlineStr">
        <is>
          <t>Automatización de Procesos</t>
        </is>
      </c>
      <c r="D288" s="25" t="inlineStr">
        <is>
          <t>Herramientas De Automatización Empresarial</t>
        </is>
      </c>
      <c r="E288" s="26" t="n">
        <v>35</v>
      </c>
      <c r="F288" s="27">
        <f>E288/Config!$B$1</f>
        <v/>
      </c>
      <c r="G288" s="24" t="inlineStr">
        <is>
          <t>Real</t>
        </is>
      </c>
    </row>
    <row r="289" ht="15" customHeight="1" s="19">
      <c r="A289" s="24" t="n">
        <v>8014</v>
      </c>
      <c r="B289" s="25" t="inlineStr">
        <is>
          <t>Plataformas para Automatización</t>
        </is>
      </c>
      <c r="C289" s="24" t="inlineStr">
        <is>
          <t>Automatización de Procesos</t>
        </is>
      </c>
      <c r="D289" s="25" t="inlineStr">
        <is>
          <t>Herramientas De Automatización Empresarial</t>
        </is>
      </c>
      <c r="E289" s="26" t="n">
        <v>4500</v>
      </c>
      <c r="F289" s="27">
        <f>E289/Config!$B$1</f>
        <v/>
      </c>
      <c r="G289" s="28" t="inlineStr">
        <is>
          <t>Estimado (mediana de categoría)</t>
        </is>
      </c>
    </row>
    <row r="290" ht="15" customHeight="1" s="19">
      <c r="A290" s="24" t="n">
        <v>6165</v>
      </c>
      <c r="B290" s="25" t="inlineStr">
        <is>
          <t>Procesamiento Automatizado de Facturas y Pagos</t>
        </is>
      </c>
      <c r="C290" s="24" t="inlineStr">
        <is>
          <t>Automatización de Procesos</t>
        </is>
      </c>
      <c r="D290" s="25" t="inlineStr">
        <is>
          <t>Procesamiento Automatizado</t>
        </is>
      </c>
      <c r="E290" s="26" t="n">
        <v>2700</v>
      </c>
      <c r="F290" s="27">
        <f>E290/Config!$B$1</f>
        <v/>
      </c>
      <c r="G290" s="24" t="inlineStr">
        <is>
          <t>Real</t>
        </is>
      </c>
    </row>
    <row r="291" ht="15" customHeight="1" s="19">
      <c r="A291" s="24" t="n">
        <v>7889</v>
      </c>
      <c r="B291" s="25" t="inlineStr">
        <is>
          <t>Procesamiento Automatizado de Facturas y Pagos</t>
        </is>
      </c>
      <c r="C291" s="24" t="inlineStr">
        <is>
          <t>Automatización de Procesos</t>
        </is>
      </c>
      <c r="D291" s="25" t="inlineStr">
        <is>
          <t>Procesamiento Automatizado</t>
        </is>
      </c>
      <c r="E291" s="26" t="n">
        <v>4500</v>
      </c>
      <c r="F291" s="27">
        <f>E291/Config!$B$1</f>
        <v/>
      </c>
      <c r="G291" s="28" t="inlineStr">
        <is>
          <t>Estimado (mediana de categoría)</t>
        </is>
      </c>
    </row>
    <row r="292" ht="15" customHeight="1" s="19">
      <c r="A292" s="24" t="n">
        <v>6044</v>
      </c>
      <c r="B292" s="25" t="inlineStr">
        <is>
          <t>RPA avanzada</t>
        </is>
      </c>
      <c r="C292" s="24" t="inlineStr">
        <is>
          <t>Automatización de Procesos</t>
        </is>
      </c>
      <c r="D292" s="25" t="inlineStr">
        <is>
          <t>Rpa Avanzada</t>
        </is>
      </c>
      <c r="E292" s="26" t="n">
        <v>4500</v>
      </c>
      <c r="F292" s="27">
        <f>E292/Config!$B$1</f>
        <v/>
      </c>
      <c r="G292" s="28" t="inlineStr">
        <is>
          <t>Estimado (mediana de categoría)</t>
        </is>
      </c>
    </row>
    <row r="293" ht="15" customHeight="1" s="19">
      <c r="A293" s="24" t="n">
        <v>6735</v>
      </c>
      <c r="B293" s="25" t="inlineStr">
        <is>
          <t>Rediseño De Procesos</t>
        </is>
      </c>
      <c r="C293" s="24" t="inlineStr">
        <is>
          <t>Automatización de Procesos</t>
        </is>
      </c>
      <c r="D293" s="25" t="inlineStr">
        <is>
          <t>Rediseño De Procesos.</t>
        </is>
      </c>
      <c r="E293" s="26" t="n">
        <v>2700</v>
      </c>
      <c r="F293" s="27">
        <f>E293/Config!$B$1</f>
        <v/>
      </c>
      <c r="G293" s="24" t="inlineStr">
        <is>
          <t>Real</t>
        </is>
      </c>
    </row>
    <row r="294" ht="23.25" customHeight="1" s="19">
      <c r="A294" s="24" t="n">
        <v>6365</v>
      </c>
      <c r="B294" s="25" t="inlineStr">
        <is>
          <t>Servicios de automatización de procesos</t>
        </is>
      </c>
      <c r="C294" s="24" t="inlineStr">
        <is>
          <t>Automatización de Procesos</t>
        </is>
      </c>
      <c r="D294" s="25" t="inlineStr">
        <is>
          <t>Servicios De Consultoría Y Ejecución De Proyectos De Automatización De Flujos De Trabajo Y Tareas.</t>
        </is>
      </c>
      <c r="E294" s="26" t="n">
        <v>12600</v>
      </c>
      <c r="F294" s="27">
        <f>E294/Config!$B$1</f>
        <v/>
      </c>
      <c r="G294" s="24" t="inlineStr">
        <is>
          <t>Real</t>
        </is>
      </c>
    </row>
    <row r="295" ht="23.25" customHeight="1" s="19">
      <c r="A295" s="24" t="n">
        <v>8076</v>
      </c>
      <c r="B295" s="25" t="inlineStr">
        <is>
          <t>Servicios de automatización de procesos</t>
        </is>
      </c>
      <c r="C295" s="24" t="inlineStr">
        <is>
          <t>Automatización de Procesos</t>
        </is>
      </c>
      <c r="D295" s="25" t="inlineStr">
        <is>
          <t>Servicios De Consultoría Y Ejecución De Proyectos De Automatización De Flujos De Trabajo Y Tareas.</t>
        </is>
      </c>
      <c r="E295" s="26" t="n">
        <v>4500</v>
      </c>
      <c r="F295" s="27">
        <f>E295/Config!$B$1</f>
        <v/>
      </c>
      <c r="G295" s="28" t="inlineStr">
        <is>
          <t>Estimado (mediana de categoría)</t>
        </is>
      </c>
    </row>
    <row r="296" ht="34.5" customHeight="1" s="19">
      <c r="A296" s="24" t="n">
        <v>6378</v>
      </c>
      <c r="B296" s="25" t="inlineStr">
        <is>
          <t>Servicios de automatización de procesos robóticos (RPA)</t>
        </is>
      </c>
      <c r="C296" s="24" t="inlineStr">
        <is>
          <t>Automatización de Procesos</t>
        </is>
      </c>
      <c r="D296" s="25" t="inlineStr">
        <is>
          <t>Servicios De Consultoría Y Ejecución De Proyectos De Automatización De Procesos Con Tecnología Rpa.</t>
        </is>
      </c>
      <c r="E296" s="26" t="n">
        <v>16200</v>
      </c>
      <c r="F296" s="27">
        <f>E296/Config!$B$1</f>
        <v/>
      </c>
      <c r="G296" s="24" t="inlineStr">
        <is>
          <t>Real</t>
        </is>
      </c>
    </row>
    <row r="297" ht="34.5" customHeight="1" s="19">
      <c r="A297" s="24" t="n">
        <v>8089</v>
      </c>
      <c r="B297" s="25" t="inlineStr">
        <is>
          <t>Servicios de automatización de procesos robóticos (RPA)</t>
        </is>
      </c>
      <c r="C297" s="24" t="inlineStr">
        <is>
          <t>Automatización de Procesos</t>
        </is>
      </c>
      <c r="D297" s="25" t="inlineStr">
        <is>
          <t>Servicios De Consultoría Y Ejecución De Proyectos De Automatización De Procesos Con Tecnología Rpa.</t>
        </is>
      </c>
      <c r="E297" s="26" t="n">
        <v>4500</v>
      </c>
      <c r="F297" s="27">
        <f>E297/Config!$B$1</f>
        <v/>
      </c>
      <c r="G297" s="28" t="inlineStr">
        <is>
          <t>Estimado (mediana de categoría)</t>
        </is>
      </c>
    </row>
    <row r="298" ht="34.5" customHeight="1" s="19">
      <c r="A298" s="24" t="n">
        <v>6408</v>
      </c>
      <c r="B298" s="25" t="inlineStr">
        <is>
          <t>Servicios de implementación de soluciones de automatización de procesos</t>
        </is>
      </c>
      <c r="C298" s="24" t="inlineStr">
        <is>
          <t>Automatización de Procesos</t>
        </is>
      </c>
      <c r="D298" s="25" t="inlineStr">
        <is>
          <t>Servicios De Consultoría Y Despliegue De Tecnologías De Automatización Y Optimización De Flujos De Trabajo.</t>
        </is>
      </c>
      <c r="E298" s="26" t="n">
        <v>16200</v>
      </c>
      <c r="F298" s="27">
        <f>E298/Config!$B$1</f>
        <v/>
      </c>
      <c r="G298" s="24" t="inlineStr">
        <is>
          <t>Real</t>
        </is>
      </c>
    </row>
    <row r="299" ht="34.5" customHeight="1" s="19">
      <c r="A299" s="24" t="n">
        <v>8119</v>
      </c>
      <c r="B299" s="25" t="inlineStr">
        <is>
          <t>Servicios de implementación de soluciones de automatización de procesos</t>
        </is>
      </c>
      <c r="C299" s="24" t="inlineStr">
        <is>
          <t>Automatización de Procesos</t>
        </is>
      </c>
      <c r="D299" s="25" t="inlineStr">
        <is>
          <t>Servicios De Consultoría Y Despliegue De Tecnologías De Automatización Y Optimización De Flujos De Trabajo.</t>
        </is>
      </c>
      <c r="E299" s="26" t="n">
        <v>4500</v>
      </c>
      <c r="F299" s="27">
        <f>E299/Config!$B$1</f>
        <v/>
      </c>
      <c r="G299" s="28" t="inlineStr">
        <is>
          <t>Estimado (mediana de categoría)</t>
        </is>
      </c>
    </row>
    <row r="300" ht="34.5" customHeight="1" s="19">
      <c r="A300" s="24" t="n">
        <v>6431</v>
      </c>
      <c r="B300" s="25" t="inlineStr">
        <is>
          <t>Servicios de implementación de soluciones de automatización de procesos robóticos (RPA)</t>
        </is>
      </c>
      <c r="C300" s="24" t="inlineStr">
        <is>
          <t>Automatización de Procesos</t>
        </is>
      </c>
      <c r="D300" s="25" t="inlineStr">
        <is>
          <t>Servicios De Consultoría Y Despliegue De Tecnologías De Automatización Inteligente De Tareas Y Procesos Repetitivos.</t>
        </is>
      </c>
      <c r="E300" s="26" t="n">
        <v>22500</v>
      </c>
      <c r="F300" s="27">
        <f>E300/Config!$B$1</f>
        <v/>
      </c>
      <c r="G300" s="24" t="inlineStr">
        <is>
          <t>Real</t>
        </is>
      </c>
    </row>
    <row r="301" ht="34.5" customHeight="1" s="19">
      <c r="A301" s="24" t="n">
        <v>8142</v>
      </c>
      <c r="B301" s="25" t="inlineStr">
        <is>
          <t>Servicios de implementación de soluciones de automatización de procesos robóticos (RPA)</t>
        </is>
      </c>
      <c r="C301" s="24" t="inlineStr">
        <is>
          <t>Automatización de Procesos</t>
        </is>
      </c>
      <c r="D301" s="25" t="inlineStr">
        <is>
          <t>Servicios De Consultoría Y Despliegue De Tecnologías De Automatización Inteligente De Tareas Y Procesos Repetitivos.</t>
        </is>
      </c>
      <c r="E301" s="26" t="n">
        <v>4500</v>
      </c>
      <c r="F301" s="27">
        <f>E301/Config!$B$1</f>
        <v/>
      </c>
      <c r="G301" s="28" t="inlineStr">
        <is>
          <t>Estimado (mediana de categoría)</t>
        </is>
      </c>
    </row>
    <row r="302" ht="34.5" customHeight="1" s="19">
      <c r="A302" s="24" t="n">
        <v>6441</v>
      </c>
      <c r="B302" s="25" t="inlineStr">
        <is>
          <t>Servicios de implementación de soluciones de automatización y orquestación de infraestructura</t>
        </is>
      </c>
      <c r="C302" s="24" t="inlineStr">
        <is>
          <t>Automatización de Procesos</t>
        </is>
      </c>
      <c r="D302" s="25" t="inlineStr">
        <is>
          <t>Servicios De Consultoría Y Despliegue De Tecnologías De Automatización, Orquestación Y Aprovisionamiento De Recursos De Infraestructura.</t>
        </is>
      </c>
      <c r="E302" s="26" t="n">
        <v>25200</v>
      </c>
      <c r="F302" s="27">
        <f>E302/Config!$B$1</f>
        <v/>
      </c>
      <c r="G302" s="24" t="inlineStr">
        <is>
          <t>Real</t>
        </is>
      </c>
    </row>
    <row r="303" ht="34.5" customHeight="1" s="19">
      <c r="A303" s="24" t="n">
        <v>8152</v>
      </c>
      <c r="B303" s="25" t="inlineStr">
        <is>
          <t>Servicios de implementación de soluciones de automatización y orquestación de infraestructura</t>
        </is>
      </c>
      <c r="C303" s="24" t="inlineStr">
        <is>
          <t>Automatización de Procesos</t>
        </is>
      </c>
      <c r="D303" s="25" t="inlineStr">
        <is>
          <t>Servicios De Consultoría Y Despliegue De Tecnologías De Automatización, Orquestación Y Aprovisionamiento De Recursos De Infraestructura.</t>
        </is>
      </c>
      <c r="E303" s="26" t="n">
        <v>4500</v>
      </c>
      <c r="F303" s="27">
        <f>E303/Config!$B$1</f>
        <v/>
      </c>
      <c r="G303" s="28" t="inlineStr">
        <is>
          <t>Estimado (mediana de categoría)</t>
        </is>
      </c>
    </row>
    <row r="304" ht="23.25" customHeight="1" s="19">
      <c r="A304" s="24" t="n">
        <v>6419</v>
      </c>
      <c r="B304" s="25" t="inlineStr">
        <is>
          <t>Servicios de implementación de soluciones de robótica y automatización avanzada</t>
        </is>
      </c>
      <c r="C304" s="24" t="inlineStr">
        <is>
          <t>Automatización de Procesos</t>
        </is>
      </c>
      <c r="D304" s="25" t="inlineStr">
        <is>
          <t>Servicios De Consultoría Y Despliegue De Soluciones De Robótica, Automatización Y Control De Procesos.</t>
        </is>
      </c>
      <c r="E304" s="26" t="n">
        <v>25200</v>
      </c>
      <c r="F304" s="27">
        <f>E304/Config!$B$1</f>
        <v/>
      </c>
      <c r="G304" s="24" t="inlineStr">
        <is>
          <t>Real</t>
        </is>
      </c>
    </row>
    <row r="305" ht="23.25" customHeight="1" s="19">
      <c r="A305" s="24" t="n">
        <v>8130</v>
      </c>
      <c r="B305" s="25" t="inlineStr">
        <is>
          <t>Servicios de implementación de soluciones de robótica y automatización avanzada</t>
        </is>
      </c>
      <c r="C305" s="24" t="inlineStr">
        <is>
          <t>Automatización de Procesos</t>
        </is>
      </c>
      <c r="D305" s="25" t="inlineStr">
        <is>
          <t>Servicios De Consultoría Y Despliegue De Soluciones De Robótica, Automatización Y Control De Procesos.</t>
        </is>
      </c>
      <c r="E305" s="26" t="n">
        <v>4500</v>
      </c>
      <c r="F305" s="27">
        <f>E305/Config!$B$1</f>
        <v/>
      </c>
      <c r="G305" s="28" t="inlineStr">
        <is>
          <t>Estimado (mediana de categoría)</t>
        </is>
      </c>
    </row>
    <row r="306" ht="15" customHeight="1" s="19">
      <c r="A306" s="24" t="n">
        <v>6736</v>
      </c>
      <c r="B306" s="25" t="inlineStr">
        <is>
          <t>Soluciones RPA (Robotic Process Automation)</t>
        </is>
      </c>
      <c r="C306" s="24" t="inlineStr">
        <is>
          <t>Automatización de Procesos</t>
        </is>
      </c>
      <c r="D306" s="25" t="inlineStr">
        <is>
          <t>Automatización De Procesos Con Rpa.</t>
        </is>
      </c>
      <c r="E306" s="26" t="n">
        <v>4500</v>
      </c>
      <c r="F306" s="27">
        <f>E306/Config!$B$1</f>
        <v/>
      </c>
      <c r="G306" s="24" t="inlineStr">
        <is>
          <t>Real</t>
        </is>
      </c>
    </row>
    <row r="307" ht="15" customHeight="1" s="19">
      <c r="A307" s="24" t="n">
        <v>6734</v>
      </c>
      <c r="B307" s="25" t="inlineStr">
        <is>
          <t>Soluciones de RPA (Robotic Process Automation)</t>
        </is>
      </c>
      <c r="C307" s="24" t="inlineStr">
        <is>
          <t>Automatización de Procesos</t>
        </is>
      </c>
      <c r="D307" s="25" t="inlineStr">
        <is>
          <t>Automatización De Procesos Con Rpa.</t>
        </is>
      </c>
      <c r="E307" s="26" t="n">
        <v>1800</v>
      </c>
      <c r="F307" s="27">
        <f>E307/Config!$B$1</f>
        <v/>
      </c>
      <c r="G307" s="24" t="inlineStr">
        <is>
          <t>Real</t>
        </is>
      </c>
    </row>
    <row r="308" ht="23.25" customHeight="1" s="19">
      <c r="A308" s="24" t="n">
        <v>6344</v>
      </c>
      <c r="B308" s="25" t="inlineStr">
        <is>
          <t>Soluciones de automatización</t>
        </is>
      </c>
      <c r="C308" s="24" t="inlineStr">
        <is>
          <t>Automatización de Procesos</t>
        </is>
      </c>
      <c r="D308" s="25" t="inlineStr">
        <is>
          <t>Servicios De Consultoría E Implementación De Tecnologías De Automatización.</t>
        </is>
      </c>
      <c r="E308" s="26" t="n">
        <v>18000</v>
      </c>
      <c r="F308" s="27">
        <f>E308/Config!$B$1</f>
        <v/>
      </c>
      <c r="G308" s="24" t="inlineStr">
        <is>
          <t>Real</t>
        </is>
      </c>
    </row>
    <row r="309" ht="23.25" customHeight="1" s="19">
      <c r="A309" s="24" t="n">
        <v>8055</v>
      </c>
      <c r="B309" s="25" t="inlineStr">
        <is>
          <t>Soluciones de automatización</t>
        </is>
      </c>
      <c r="C309" s="24" t="inlineStr">
        <is>
          <t>Automatización de Procesos</t>
        </is>
      </c>
      <c r="D309" s="25" t="inlineStr">
        <is>
          <t>Servicios De Consultoría E Implementación De Tecnologías De Automatización.</t>
        </is>
      </c>
      <c r="E309" s="26" t="n">
        <v>4500</v>
      </c>
      <c r="F309" s="27">
        <f>E309/Config!$B$1</f>
        <v/>
      </c>
      <c r="G309" s="28" t="inlineStr">
        <is>
          <t>Estimado (mediana de categoría)</t>
        </is>
      </c>
    </row>
    <row r="310" ht="15" customHeight="1" s="19">
      <c r="A310" s="24" t="n">
        <v>7000</v>
      </c>
      <c r="B310" s="25" t="inlineStr">
        <is>
          <t>Soporte Automatizado</t>
        </is>
      </c>
      <c r="C310" s="24" t="inlineStr">
        <is>
          <t>Automatización de Procesos</t>
        </is>
      </c>
      <c r="D310" s="25" t="inlineStr">
        <is>
          <t>Soporte Automatizado</t>
        </is>
      </c>
      <c r="E310" s="26" t="n">
        <v>3400</v>
      </c>
      <c r="F310" s="27">
        <f>E310/Config!$B$1</f>
        <v/>
      </c>
      <c r="G310" s="24" t="inlineStr">
        <is>
          <t>Real</t>
        </is>
      </c>
    </row>
    <row r="311" ht="15" customHeight="1" s="19">
      <c r="A311" s="24" t="n">
        <v>6835</v>
      </c>
      <c r="B311" s="25" t="inlineStr">
        <is>
          <t>Administración De Bases De Datos</t>
        </is>
      </c>
      <c r="C311" s="24" t="inlineStr">
        <is>
          <t>Business Intelligence</t>
        </is>
      </c>
      <c r="D311" s="25" t="inlineStr">
        <is>
          <t>Administración De Db</t>
        </is>
      </c>
      <c r="E311" s="26" t="n">
        <v>1800</v>
      </c>
      <c r="F311" s="27">
        <f>E311/Config!$B$1</f>
        <v/>
      </c>
      <c r="G311" s="24" t="inlineStr">
        <is>
          <t>Real</t>
        </is>
      </c>
    </row>
    <row r="312" ht="15" customHeight="1" s="19">
      <c r="A312" s="24" t="n">
        <v>6163</v>
      </c>
      <c r="B312" s="25" t="inlineStr">
        <is>
          <t>Analítica Avanzada para la Toma de Decisiones</t>
        </is>
      </c>
      <c r="C312" s="24" t="inlineStr">
        <is>
          <t>Business Intelligence</t>
        </is>
      </c>
      <c r="D312" s="25" t="inlineStr">
        <is>
          <t>Analítica Avanzada</t>
        </is>
      </c>
      <c r="E312" s="26" t="n">
        <v>3800</v>
      </c>
      <c r="F312" s="27">
        <f>E312/Config!$B$1</f>
        <v/>
      </c>
      <c r="G312" s="24" t="inlineStr">
        <is>
          <t>Real</t>
        </is>
      </c>
    </row>
    <row r="313" ht="15" customHeight="1" s="19">
      <c r="A313" s="24" t="n">
        <v>7887</v>
      </c>
      <c r="B313" s="25" t="inlineStr">
        <is>
          <t>Analítica Avanzada para la Toma de Decisiones</t>
        </is>
      </c>
      <c r="C313" s="24" t="inlineStr">
        <is>
          <t>Business Intelligence</t>
        </is>
      </c>
      <c r="D313" s="25" t="inlineStr">
        <is>
          <t>Analítica Avanzada</t>
        </is>
      </c>
      <c r="E313" s="26" t="n">
        <v>4500</v>
      </c>
      <c r="F313" s="27">
        <f>E313/Config!$B$1</f>
        <v/>
      </c>
      <c r="G313" s="28" t="inlineStr">
        <is>
          <t>Estimado (mediana de categoría)</t>
        </is>
      </c>
    </row>
    <row r="314" ht="15" customHeight="1" s="19">
      <c r="A314" s="24" t="n">
        <v>6045</v>
      </c>
      <c r="B314" s="25" t="inlineStr">
        <is>
          <t>Analítica avanzada</t>
        </is>
      </c>
      <c r="C314" s="24" t="inlineStr">
        <is>
          <t>Business Intelligence</t>
        </is>
      </c>
      <c r="D314" s="25" t="inlineStr">
        <is>
          <t>Analítica Avanzada</t>
        </is>
      </c>
      <c r="E314" s="26" t="n">
        <v>4500</v>
      </c>
      <c r="F314" s="27">
        <f>E314/Config!$B$1</f>
        <v/>
      </c>
      <c r="G314" s="28" t="inlineStr">
        <is>
          <t>Estimado (mediana de categoría)</t>
        </is>
      </c>
    </row>
    <row r="315" ht="15" customHeight="1" s="19">
      <c r="A315" s="24" t="n">
        <v>6310</v>
      </c>
      <c r="B315" s="25" t="inlineStr">
        <is>
          <t>Analítica de datos</t>
        </is>
      </c>
      <c r="C315" s="24" t="inlineStr">
        <is>
          <t>Business Intelligence</t>
        </is>
      </c>
      <c r="D315" s="25" t="inlineStr">
        <is>
          <t>Análisis Y Generación De Reportes A Partir De Datos.</t>
        </is>
      </c>
      <c r="E315" s="26" t="n">
        <v>180</v>
      </c>
      <c r="F315" s="27">
        <f>E315/Config!$B$1</f>
        <v/>
      </c>
      <c r="G315" s="24" t="inlineStr">
        <is>
          <t>Real</t>
        </is>
      </c>
    </row>
    <row r="316" ht="15" customHeight="1" s="19">
      <c r="A316" s="24" t="n">
        <v>8021</v>
      </c>
      <c r="B316" s="25" t="inlineStr">
        <is>
          <t>Analítica de datos</t>
        </is>
      </c>
      <c r="C316" s="24" t="inlineStr">
        <is>
          <t>Business Intelligence</t>
        </is>
      </c>
      <c r="D316" s="25" t="inlineStr">
        <is>
          <t>Análisis Y Generación De Reportes A Partir De Datos.</t>
        </is>
      </c>
      <c r="E316" s="26" t="n">
        <v>4500</v>
      </c>
      <c r="F316" s="27">
        <f>E316/Config!$B$1</f>
        <v/>
      </c>
      <c r="G316" s="28" t="inlineStr">
        <is>
          <t>Estimado (mediana de categoría)</t>
        </is>
      </c>
    </row>
    <row r="317" ht="23.25" customHeight="1" s="19">
      <c r="A317" s="24" t="n">
        <v>6656</v>
      </c>
      <c r="B317" s="25" t="inlineStr">
        <is>
          <t>Analítica y Reportes Ecommerce: Monitorea y Optimiza tu Tienda Online</t>
        </is>
      </c>
      <c r="C317" s="24" t="inlineStr">
        <is>
          <t>Business Intelligence</t>
        </is>
      </c>
      <c r="D317" s="25" t="inlineStr">
        <is>
          <t>Análisis y Reportes de Datos de Ecommerce: La clave para el éxito en el comercio electrónico</t>
        </is>
      </c>
      <c r="E317" s="26" t="n">
        <v>800</v>
      </c>
      <c r="F317" s="27">
        <f>E317/Config!$B$1</f>
        <v/>
      </c>
      <c r="G317" s="24" t="inlineStr">
        <is>
          <t>Real</t>
        </is>
      </c>
    </row>
    <row r="318" ht="15" customHeight="1" s="19">
      <c r="A318" s="24" t="n">
        <v>7443</v>
      </c>
      <c r="B318" s="25" t="inlineStr">
        <is>
          <t>Análisis Avanzado de Datos</t>
        </is>
      </c>
      <c r="C318" s="24" t="inlineStr">
        <is>
          <t>Business Intelligence</t>
        </is>
      </c>
      <c r="D318" s="25" t="n"/>
      <c r="E318" s="26" t="n">
        <v>4500</v>
      </c>
      <c r="F318" s="27">
        <f>E318/Config!$B$1</f>
        <v/>
      </c>
      <c r="G318" s="28" t="inlineStr">
        <is>
          <t>Estimado (mediana de categoría)</t>
        </is>
      </c>
    </row>
    <row r="319" ht="23.25" customHeight="1" s="19">
      <c r="A319" s="24" t="n">
        <v>6670</v>
      </c>
      <c r="B319" s="25" t="inlineStr">
        <is>
          <t>Análisis Avanzado de Datos para Ecommerce: Optimiza tu Tienda Virtual con Insights Estratégicos</t>
        </is>
      </c>
      <c r="C319" s="24" t="inlineStr">
        <is>
          <t>Business Intelligence</t>
        </is>
      </c>
      <c r="D319" s="25" t="inlineStr">
        <is>
          <t>Análisis Avanzado de Datos para Ecommerce: Impulsa tu Negocio Online</t>
        </is>
      </c>
      <c r="E319" s="26" t="n">
        <v>1500</v>
      </c>
      <c r="F319" s="27">
        <f>E319/Config!$B$1</f>
        <v/>
      </c>
      <c r="G319" s="24" t="inlineStr">
        <is>
          <t>Real</t>
        </is>
      </c>
    </row>
    <row r="320" ht="23.25" customHeight="1" s="19">
      <c r="A320" s="24" t="n">
        <v>8371</v>
      </c>
      <c r="B320" s="25" t="inlineStr">
        <is>
          <t>Análisis Avanzado de Datos para Ecommerce: Optimiza tu Tienda Virtual con Insights Estratégicos</t>
        </is>
      </c>
      <c r="C320" s="24" t="inlineStr">
        <is>
          <t>Business Intelligence</t>
        </is>
      </c>
      <c r="D320" s="25" t="inlineStr">
        <is>
          <t>Análisis Avanzado de Datos para Ecommerce: Optimiza tu Tienda Virtual con Insights Estratégicos</t>
        </is>
      </c>
      <c r="E320" s="26" t="n">
        <v>4500</v>
      </c>
      <c r="F320" s="27">
        <f>E320/Config!$B$1</f>
        <v/>
      </c>
      <c r="G320" s="28" t="inlineStr">
        <is>
          <t>Estimado (mediana de categoría)</t>
        </is>
      </c>
    </row>
    <row r="321" ht="15" customHeight="1" s="19">
      <c r="A321" s="24" t="n">
        <v>7439</v>
      </c>
      <c r="B321" s="25" t="inlineStr">
        <is>
          <t>Análisis Básico de Datos</t>
        </is>
      </c>
      <c r="C321" s="24" t="inlineStr">
        <is>
          <t>Business Intelligence</t>
        </is>
      </c>
      <c r="D321" s="25" t="n"/>
      <c r="E321" s="26" t="n">
        <v>4500</v>
      </c>
      <c r="F321" s="27">
        <f>E321/Config!$B$1</f>
        <v/>
      </c>
      <c r="G321" s="28" t="inlineStr">
        <is>
          <t>Estimado (mediana de categoría)</t>
        </is>
      </c>
    </row>
    <row r="322" ht="15" customHeight="1" s="19">
      <c r="A322" s="24" t="n">
        <v>7908</v>
      </c>
      <c r="B322" s="25" t="inlineStr">
        <is>
          <t>Análisis De Datos De Marketing</t>
        </is>
      </c>
      <c r="C322" s="24" t="inlineStr">
        <is>
          <t>Business Intelligence</t>
        </is>
      </c>
      <c r="D322" s="25" t="inlineStr">
        <is>
          <t>Análisis De Marketing Con Ia</t>
        </is>
      </c>
      <c r="E322" s="26" t="n">
        <v>4500</v>
      </c>
      <c r="F322" s="27">
        <f>E322/Config!$B$1</f>
        <v/>
      </c>
      <c r="G322" s="28" t="inlineStr">
        <is>
          <t>Estimado (mediana de categoría)</t>
        </is>
      </c>
    </row>
    <row r="323" ht="15" customHeight="1" s="19">
      <c r="A323" s="24" t="n">
        <v>6028</v>
      </c>
      <c r="B323" s="25" t="inlineStr">
        <is>
          <t>Análisis De Riesgos</t>
        </is>
      </c>
      <c r="C323" s="24" t="inlineStr">
        <is>
          <t>Business Intelligence</t>
        </is>
      </c>
      <c r="D323" s="25" t="inlineStr">
        <is>
          <t>Ciberseguridad</t>
        </is>
      </c>
      <c r="E323" s="26" t="n">
        <v>4500</v>
      </c>
      <c r="F323" s="27">
        <f>E323/Config!$B$1</f>
        <v/>
      </c>
      <c r="G323" s="28" t="inlineStr">
        <is>
          <t>Estimado (mediana de categoría)</t>
        </is>
      </c>
    </row>
    <row r="324" ht="15" customHeight="1" s="19">
      <c r="A324" s="24" t="n">
        <v>5957</v>
      </c>
      <c r="B324" s="25" t="inlineStr">
        <is>
          <t>Análisis Predictivo</t>
        </is>
      </c>
      <c r="C324" s="24" t="inlineStr">
        <is>
          <t>Business Intelligence</t>
        </is>
      </c>
      <c r="D324" s="25" t="inlineStr">
        <is>
          <t>Análisis Predictivo</t>
        </is>
      </c>
      <c r="E324" s="26" t="n">
        <v>4500</v>
      </c>
      <c r="F324" s="27">
        <f>E324/Config!$B$1</f>
        <v/>
      </c>
      <c r="G324" s="28" t="inlineStr">
        <is>
          <t>Estimado (mediana de categoría)</t>
        </is>
      </c>
    </row>
    <row r="325" ht="23.25" customHeight="1" s="19">
      <c r="A325" s="24" t="n">
        <v>6292</v>
      </c>
      <c r="B325" s="25" t="inlineStr">
        <is>
          <t>Análisis Predictivo para Mantenimiento</t>
        </is>
      </c>
      <c r="C325" s="24" t="inlineStr">
        <is>
          <t>Business Intelligence</t>
        </is>
      </c>
      <c r="D325" s="25" t="inlineStr">
        <is>
          <t>Solución De Análisis Predictivo Para Mantenimiento Basada En Ia</t>
        </is>
      </c>
      <c r="E325" s="26" t="n">
        <v>249</v>
      </c>
      <c r="F325" s="27">
        <f>E325/Config!$B$1</f>
        <v/>
      </c>
      <c r="G325" s="24" t="inlineStr">
        <is>
          <t>Real</t>
        </is>
      </c>
    </row>
    <row r="326" ht="23.25" customHeight="1" s="19">
      <c r="A326" s="24" t="n">
        <v>8005</v>
      </c>
      <c r="B326" s="25" t="inlineStr">
        <is>
          <t>Análisis Predictivo para Mantenimiento</t>
        </is>
      </c>
      <c r="C326" s="24" t="inlineStr">
        <is>
          <t>Business Intelligence</t>
        </is>
      </c>
      <c r="D326" s="25" t="inlineStr">
        <is>
          <t>Solución De Análisis Predictivo Para Mantenimiento Basada En Ia</t>
        </is>
      </c>
      <c r="E326" s="26" t="n">
        <v>4500</v>
      </c>
      <c r="F326" s="27">
        <f>E326/Config!$B$1</f>
        <v/>
      </c>
      <c r="G326" s="28" t="inlineStr">
        <is>
          <t>Estimado (mediana de categoría)</t>
        </is>
      </c>
    </row>
    <row r="327" ht="15" customHeight="1" s="19">
      <c r="A327" s="24" t="n">
        <v>6111</v>
      </c>
      <c r="B327" s="25" t="inlineStr">
        <is>
          <t>Análisis Predictivo y ML</t>
        </is>
      </c>
      <c r="C327" s="24" t="inlineStr">
        <is>
          <t>Business Intelligence</t>
        </is>
      </c>
      <c r="D327" s="25" t="inlineStr">
        <is>
          <t>Análisis Predictivo Y Ml</t>
        </is>
      </c>
      <c r="E327" s="26" t="n">
        <v>5500</v>
      </c>
      <c r="F327" s="27">
        <f>E327/Config!$B$1</f>
        <v/>
      </c>
      <c r="G327" s="24" t="inlineStr">
        <is>
          <t>Real</t>
        </is>
      </c>
    </row>
    <row r="328" ht="15" customHeight="1" s="19">
      <c r="A328" s="24" t="n">
        <v>7835</v>
      </c>
      <c r="B328" s="25" t="inlineStr">
        <is>
          <t>Análisis Predictivo y ML</t>
        </is>
      </c>
      <c r="C328" s="24" t="inlineStr">
        <is>
          <t>Business Intelligence</t>
        </is>
      </c>
      <c r="D328" s="25" t="inlineStr">
        <is>
          <t>Análisis Predictivo Y Ml</t>
        </is>
      </c>
      <c r="E328" s="26" t="n">
        <v>4500</v>
      </c>
      <c r="F328" s="27">
        <f>E328/Config!$B$1</f>
        <v/>
      </c>
      <c r="G328" s="28" t="inlineStr">
        <is>
          <t>Estimado (mediana de categoría)</t>
        </is>
      </c>
    </row>
    <row r="329" ht="15" customHeight="1" s="19">
      <c r="A329" s="24" t="n">
        <v>5913</v>
      </c>
      <c r="B329" s="25" t="inlineStr">
        <is>
          <t>Análisis de Big Data</t>
        </is>
      </c>
      <c r="C329" s="24" t="inlineStr">
        <is>
          <t>Business Intelligence</t>
        </is>
      </c>
      <c r="D329" s="25" t="inlineStr">
        <is>
          <t>Análisis De Big Data</t>
        </is>
      </c>
      <c r="E329" s="26" t="n">
        <v>7000</v>
      </c>
      <c r="F329" s="27">
        <f>E329/Config!$B$1</f>
        <v/>
      </c>
      <c r="G329" s="24" t="inlineStr">
        <is>
          <t>Real</t>
        </is>
      </c>
    </row>
    <row r="330" ht="15" customHeight="1" s="19">
      <c r="A330" s="24" t="n">
        <v>7695</v>
      </c>
      <c r="B330" s="25" t="inlineStr">
        <is>
          <t>Análisis de Big Data</t>
        </is>
      </c>
      <c r="C330" s="24" t="inlineStr">
        <is>
          <t>Business Intelligence</t>
        </is>
      </c>
      <c r="D330" s="25" t="inlineStr">
        <is>
          <t>Análisis De Big Data</t>
        </is>
      </c>
      <c r="E330" s="26" t="n">
        <v>4500</v>
      </c>
      <c r="F330" s="27">
        <f>E330/Config!$B$1</f>
        <v/>
      </c>
      <c r="G330" s="28" t="inlineStr">
        <is>
          <t>Estimado (mediana de categoría)</t>
        </is>
      </c>
    </row>
    <row r="331" ht="15" customHeight="1" s="19">
      <c r="A331" s="24" t="n">
        <v>6148</v>
      </c>
      <c r="B331" s="25" t="inlineStr">
        <is>
          <t>Análisis de Competencia</t>
        </is>
      </c>
      <c r="C331" s="24" t="inlineStr">
        <is>
          <t>Business Intelligence</t>
        </is>
      </c>
      <c r="D331" s="25" t="inlineStr">
        <is>
          <t>Análisis Estratégico De Competencia.</t>
        </is>
      </c>
      <c r="E331" s="26" t="n">
        <v>1000</v>
      </c>
      <c r="F331" s="27">
        <f>E331/Config!$B$1</f>
        <v/>
      </c>
      <c r="G331" s="24" t="inlineStr">
        <is>
          <t>Real</t>
        </is>
      </c>
    </row>
    <row r="332" ht="15" customHeight="1" s="19">
      <c r="A332" s="24" t="n">
        <v>7872</v>
      </c>
      <c r="B332" s="25" t="inlineStr">
        <is>
          <t>Análisis de Competencia</t>
        </is>
      </c>
      <c r="C332" s="24" t="inlineStr">
        <is>
          <t>Business Intelligence</t>
        </is>
      </c>
      <c r="D332" s="25" t="inlineStr">
        <is>
          <t>Análisis Estratégico De Competencia.</t>
        </is>
      </c>
      <c r="E332" s="26" t="n">
        <v>4500</v>
      </c>
      <c r="F332" s="27">
        <f>E332/Config!$B$1</f>
        <v/>
      </c>
      <c r="G332" s="28" t="inlineStr">
        <is>
          <t>Estimado (mediana de categoría)</t>
        </is>
      </c>
    </row>
    <row r="333" ht="34.5" customHeight="1" s="19">
      <c r="A333" s="24" t="n">
        <v>7462</v>
      </c>
      <c r="B333" s="25" t="inlineStr">
        <is>
          <t>Análisis de Competencia y Estrategia: La Guía Definitiva para Dominar tu Mercado</t>
        </is>
      </c>
      <c r="C333" s="24" t="inlineStr">
        <is>
          <t>Business Intelligence</t>
        </is>
      </c>
      <c r="D333" s="25" t="inlineStr">
        <is>
          <t>Análisis de Competencia y Estrategia: Información clave sobre tus competidores para tomar decisiones informadas y obtener ventaja competitiva.</t>
        </is>
      </c>
      <c r="E333" s="26" t="n">
        <v>4500</v>
      </c>
      <c r="F333" s="27">
        <f>E333/Config!$B$1</f>
        <v/>
      </c>
      <c r="G333" s="28" t="inlineStr">
        <is>
          <t>Estimado (mediana de categoría)</t>
        </is>
      </c>
    </row>
    <row r="334" ht="15" customHeight="1" s="19">
      <c r="A334" s="24" t="n">
        <v>6135</v>
      </c>
      <c r="B334" s="25" t="inlineStr">
        <is>
          <t>Análisis de Competidores y Mercado</t>
        </is>
      </c>
      <c r="C334" s="24" t="inlineStr">
        <is>
          <t>Business Intelligence</t>
        </is>
      </c>
      <c r="D334" s="25" t="inlineStr">
        <is>
          <t>Análisis De Mercado</t>
        </is>
      </c>
      <c r="E334" s="26" t="n">
        <v>4000</v>
      </c>
      <c r="F334" s="27">
        <f>E334/Config!$B$1</f>
        <v/>
      </c>
      <c r="G334" s="24" t="inlineStr">
        <is>
          <t>Real</t>
        </is>
      </c>
    </row>
    <row r="335" ht="15" customHeight="1" s="19">
      <c r="A335" s="24" t="n">
        <v>7859</v>
      </c>
      <c r="B335" s="25" t="inlineStr">
        <is>
          <t>Análisis de Competidores y Mercado</t>
        </is>
      </c>
      <c r="C335" s="24" t="inlineStr">
        <is>
          <t>Business Intelligence</t>
        </is>
      </c>
      <c r="D335" s="25" t="inlineStr">
        <is>
          <t>Análisis De Mercado</t>
        </is>
      </c>
      <c r="E335" s="26" t="n">
        <v>4500</v>
      </c>
      <c r="F335" s="27">
        <f>E335/Config!$B$1</f>
        <v/>
      </c>
      <c r="G335" s="28" t="inlineStr">
        <is>
          <t>Estimado (mediana de categoría)</t>
        </is>
      </c>
    </row>
    <row r="336" ht="15" customHeight="1" s="19">
      <c r="A336" s="24" t="n">
        <v>6193</v>
      </c>
      <c r="B336" s="25" t="inlineStr">
        <is>
          <t>Análisis de Comportamiento del Consumidor</t>
        </is>
      </c>
      <c r="C336" s="24" t="inlineStr">
        <is>
          <t>Business Intelligence</t>
        </is>
      </c>
      <c r="D336" s="25" t="inlineStr">
        <is>
          <t>Análisis De Comportamiento</t>
        </is>
      </c>
      <c r="E336" s="26" t="n">
        <v>180</v>
      </c>
      <c r="F336" s="27">
        <f>E336/Config!$B$1</f>
        <v/>
      </c>
      <c r="G336" s="24" t="inlineStr">
        <is>
          <t>Real</t>
        </is>
      </c>
    </row>
    <row r="337" ht="15" customHeight="1" s="19">
      <c r="A337" s="24" t="n">
        <v>7917</v>
      </c>
      <c r="B337" s="25" t="inlineStr">
        <is>
          <t>Análisis de Comportamiento del Consumidor</t>
        </is>
      </c>
      <c r="C337" s="24" t="inlineStr">
        <is>
          <t>Business Intelligence</t>
        </is>
      </c>
      <c r="D337" s="25" t="inlineStr">
        <is>
          <t>Análisis De Comportamiento</t>
        </is>
      </c>
      <c r="E337" s="26" t="n">
        <v>4500</v>
      </c>
      <c r="F337" s="27">
        <f>E337/Config!$B$1</f>
        <v/>
      </c>
      <c r="G337" s="28" t="inlineStr">
        <is>
          <t>Estimado (mediana de categoría)</t>
        </is>
      </c>
    </row>
    <row r="338" ht="57" customHeight="1" s="19">
      <c r="A338" s="24" t="n">
        <v>6543</v>
      </c>
      <c r="B338" s="25" t="inlineStr">
        <is>
          <t>Análisis de Conversiones: Optimiza tu E-commerce y Aumenta tus Ventas</t>
        </is>
      </c>
      <c r="C338" s="24" t="inlineStr">
        <is>
          <t>Business Intelligence</t>
        </is>
      </c>
      <c r="D338" s="25" t="inlineStr">
        <is>
          <t>Servicio de análisis de conversiones para e-commerce que te permite:&lt;br&gt;&lt;br&gt;&lt;em&gt; Identificar áreas de mejora&lt;br&gt;&lt;/em&gt; Optimizar la experiencia del usuario&lt;br&gt;&lt;em&gt; Aumentar las ventas&lt;br&gt;&lt;/em&gt; Mejorar el ROI de marketing</t>
        </is>
      </c>
      <c r="E338" s="26" t="n">
        <v>1000</v>
      </c>
      <c r="F338" s="27">
        <f>E338/Config!$B$1</f>
        <v/>
      </c>
      <c r="G338" s="24" t="inlineStr">
        <is>
          <t>Real</t>
        </is>
      </c>
    </row>
    <row r="339" ht="79.5" customHeight="1" s="19">
      <c r="A339" s="24" t="n">
        <v>8245</v>
      </c>
      <c r="B339" s="25" t="inlineStr">
        <is>
          <t>Análisis de Conversiones: Optimiza tu E-commerce y Dispara tus Ventas</t>
        </is>
      </c>
      <c r="C339" s="24" t="inlineStr">
        <is>
          <t>Business Intelligence</t>
        </is>
      </c>
      <c r="D339" s="25" t="inlineStr">
        <is>
          <t>Análisis de Conversiones: Optimiza tu E-commerce y Aumenta tus Ventas&lt;br&gt;&lt;br&gt;Servicio que te permite:&lt;br&gt;&lt;ul&gt;&lt;br&gt;&lt;li&gt;Identificar áreas de mejora&lt;/li&gt;&lt;br&gt;&lt;li&gt;Optimizar la experiencia del usuario&lt;/li&gt;&lt;br&gt;&lt;li&gt;Aumentar las ventas&lt;/li&gt;&lt;br&gt;&lt;li&gt;Mejorar el ROI de marketing&lt;/li&gt;&lt;br&gt;&lt;/ul&gt;</t>
        </is>
      </c>
      <c r="E339" s="26" t="n">
        <v>4500</v>
      </c>
      <c r="F339" s="27">
        <f>E339/Config!$B$1</f>
        <v/>
      </c>
      <c r="G339" s="28" t="inlineStr">
        <is>
          <t>Estimado (mediana de categoría)</t>
        </is>
      </c>
    </row>
    <row r="340" ht="15" customHeight="1" s="19">
      <c r="A340" s="24" t="n">
        <v>6021</v>
      </c>
      <c r="B340" s="25" t="inlineStr">
        <is>
          <t>Análisis de Datos</t>
        </is>
      </c>
      <c r="C340" s="24" t="inlineStr">
        <is>
          <t>Business Intelligence</t>
        </is>
      </c>
      <c r="D340" s="25" t="inlineStr">
        <is>
          <t>Análisis De Datos</t>
        </is>
      </c>
      <c r="E340" s="26" t="n">
        <v>4500</v>
      </c>
      <c r="F340" s="27">
        <f>E340/Config!$B$1</f>
        <v/>
      </c>
      <c r="G340" s="28" t="inlineStr">
        <is>
          <t>Estimado (mediana de categoría)</t>
        </is>
      </c>
    </row>
    <row r="341" ht="15" customHeight="1" s="19">
      <c r="A341" s="24" t="n">
        <v>6195</v>
      </c>
      <c r="B341" s="25" t="inlineStr">
        <is>
          <t>Análisis de Datos Financieros con IA</t>
        </is>
      </c>
      <c r="C341" s="24" t="inlineStr">
        <is>
          <t>Business Intelligence</t>
        </is>
      </c>
      <c r="D341" s="25" t="inlineStr">
        <is>
          <t>Análisis Financiero</t>
        </is>
      </c>
      <c r="E341" s="26" t="n">
        <v>220</v>
      </c>
      <c r="F341" s="27">
        <f>E341/Config!$B$1</f>
        <v/>
      </c>
      <c r="G341" s="24" t="inlineStr">
        <is>
          <t>Real</t>
        </is>
      </c>
    </row>
    <row r="342" ht="15" customHeight="1" s="19">
      <c r="A342" s="24" t="n">
        <v>7919</v>
      </c>
      <c r="B342" s="25" t="inlineStr">
        <is>
          <t>Análisis de Datos Financieros con IA</t>
        </is>
      </c>
      <c r="C342" s="24" t="inlineStr">
        <is>
          <t>Business Intelligence</t>
        </is>
      </c>
      <c r="D342" s="25" t="inlineStr">
        <is>
          <t>Análisis Financiero</t>
        </is>
      </c>
      <c r="E342" s="26" t="n">
        <v>4500</v>
      </c>
      <c r="F342" s="27">
        <f>E342/Config!$B$1</f>
        <v/>
      </c>
      <c r="G342" s="28" t="inlineStr">
        <is>
          <t>Estimado (mediana de categoría)</t>
        </is>
      </c>
    </row>
    <row r="343" ht="15" customHeight="1" s="19">
      <c r="A343" s="24" t="n">
        <v>6188</v>
      </c>
      <c r="B343" s="25" t="inlineStr">
        <is>
          <t>Análisis de Datos con IA</t>
        </is>
      </c>
      <c r="C343" s="24" t="inlineStr">
        <is>
          <t>Business Intelligence</t>
        </is>
      </c>
      <c r="D343" s="25" t="inlineStr">
        <is>
          <t>Análisis De Datos Con Ia</t>
        </is>
      </c>
      <c r="E343" s="26" t="n">
        <v>220</v>
      </c>
      <c r="F343" s="27">
        <f>E343/Config!$B$1</f>
        <v/>
      </c>
      <c r="G343" s="24" t="inlineStr">
        <is>
          <t>Real</t>
        </is>
      </c>
    </row>
    <row r="344" ht="15" customHeight="1" s="19">
      <c r="A344" s="24" t="n">
        <v>7912</v>
      </c>
      <c r="B344" s="25" t="inlineStr">
        <is>
          <t>Análisis de Datos con IA</t>
        </is>
      </c>
      <c r="C344" s="24" t="inlineStr">
        <is>
          <t>Business Intelligence</t>
        </is>
      </c>
      <c r="D344" s="25" t="inlineStr">
        <is>
          <t>Análisis De Datos Con Ia</t>
        </is>
      </c>
      <c r="E344" s="26" t="n">
        <v>4500</v>
      </c>
      <c r="F344" s="27">
        <f>E344/Config!$B$1</f>
        <v/>
      </c>
      <c r="G344" s="28" t="inlineStr">
        <is>
          <t>Estimado (mediana de categoría)</t>
        </is>
      </c>
    </row>
    <row r="345" ht="23.25" customHeight="1" s="19">
      <c r="A345" s="24" t="n">
        <v>6645</v>
      </c>
      <c r="B345" s="25" t="inlineStr">
        <is>
          <t>Análisis de Datos de Ecommerce: Optimiza tu Estrategia con Datos Clave</t>
        </is>
      </c>
      <c r="C345" s="24" t="inlineStr">
        <is>
          <t>Business Intelligence</t>
        </is>
      </c>
      <c r="D345" s="25" t="inlineStr">
        <is>
          <t>Análisis de Datos de Ecommerce para mejorar la estrategia</t>
        </is>
      </c>
      <c r="E345" s="26" t="n">
        <v>800</v>
      </c>
      <c r="F345" s="27">
        <f>E345/Config!$B$1</f>
        <v/>
      </c>
      <c r="G345" s="24" t="inlineStr">
        <is>
          <t>Real</t>
        </is>
      </c>
    </row>
    <row r="346" ht="23.25" customHeight="1" s="19">
      <c r="A346" s="24" t="n">
        <v>8346</v>
      </c>
      <c r="B346" s="25" t="inlineStr">
        <is>
          <t>Análisis de Datos de Ecommerce: Optimiza tu Estrategia con Datos Clave</t>
        </is>
      </c>
      <c r="C346" s="24" t="inlineStr">
        <is>
          <t>Business Intelligence</t>
        </is>
      </c>
      <c r="D346" s="25" t="inlineStr">
        <is>
          <t>Análisis de Datos de Ecommerce: Optimiza tu estrategia con datos clave</t>
        </is>
      </c>
      <c r="E346" s="26" t="n">
        <v>4500</v>
      </c>
      <c r="F346" s="27">
        <f>E346/Config!$B$1</f>
        <v/>
      </c>
      <c r="G346" s="28" t="inlineStr">
        <is>
          <t>Estimado (mediana de categoría)</t>
        </is>
      </c>
    </row>
    <row r="347" ht="15" customHeight="1" s="19">
      <c r="A347" s="24" t="n">
        <v>6290</v>
      </c>
      <c r="B347" s="25" t="inlineStr">
        <is>
          <t>Análisis de Datos de Marketing con IA</t>
        </is>
      </c>
      <c r="C347" s="24" t="inlineStr">
        <is>
          <t>Business Intelligence</t>
        </is>
      </c>
      <c r="D347" s="25" t="inlineStr">
        <is>
          <t>Solución De Análisis De Datos De Marketing Con Ia</t>
        </is>
      </c>
      <c r="E347" s="26" t="n">
        <v>249</v>
      </c>
      <c r="F347" s="27">
        <f>E347/Config!$B$1</f>
        <v/>
      </c>
      <c r="G347" s="24" t="inlineStr">
        <is>
          <t>Real</t>
        </is>
      </c>
    </row>
    <row r="348" ht="15" customHeight="1" s="19">
      <c r="A348" s="24" t="n">
        <v>8003</v>
      </c>
      <c r="B348" s="25" t="inlineStr">
        <is>
          <t>Análisis de Datos de Marketing con IA</t>
        </is>
      </c>
      <c r="C348" s="24" t="inlineStr">
        <is>
          <t>Business Intelligence</t>
        </is>
      </c>
      <c r="D348" s="25" t="inlineStr">
        <is>
          <t>Solución De Análisis De Datos De Marketing Con Ia</t>
        </is>
      </c>
      <c r="E348" s="26" t="n">
        <v>4500</v>
      </c>
      <c r="F348" s="27">
        <f>E348/Config!$B$1</f>
        <v/>
      </c>
      <c r="G348" s="28" t="inlineStr">
        <is>
          <t>Estimado (mediana de categoría)</t>
        </is>
      </c>
    </row>
    <row r="349" ht="15" customHeight="1" s="19">
      <c r="A349" s="24" t="n">
        <v>6289</v>
      </c>
      <c r="B349" s="25" t="inlineStr">
        <is>
          <t>Análisis de Datos de Recursos Humanos con IA</t>
        </is>
      </c>
      <c r="C349" s="24" t="inlineStr">
        <is>
          <t>Business Intelligence</t>
        </is>
      </c>
      <c r="D349" s="25" t="inlineStr">
        <is>
          <t>Solución De Análisis De Datos De Rrhh Basada En Ia</t>
        </is>
      </c>
      <c r="E349" s="26" t="n">
        <v>199</v>
      </c>
      <c r="F349" s="27">
        <f>E349/Config!$B$1</f>
        <v/>
      </c>
      <c r="G349" s="24" t="inlineStr">
        <is>
          <t>Real</t>
        </is>
      </c>
    </row>
    <row r="350" ht="15" customHeight="1" s="19">
      <c r="A350" s="24" t="n">
        <v>8002</v>
      </c>
      <c r="B350" s="25" t="inlineStr">
        <is>
          <t>Análisis de Datos de Recursos Humanos con IA</t>
        </is>
      </c>
      <c r="C350" s="24" t="inlineStr">
        <is>
          <t>Business Intelligence</t>
        </is>
      </c>
      <c r="D350" s="25" t="inlineStr">
        <is>
          <t>Solución De Análisis De Datos De Rrhh Basada En Ia</t>
        </is>
      </c>
      <c r="E350" s="26" t="n">
        <v>4500</v>
      </c>
      <c r="F350" s="27">
        <f>E350/Config!$B$1</f>
        <v/>
      </c>
      <c r="G350" s="28" t="inlineStr">
        <is>
          <t>Estimado (mediana de categoría)</t>
        </is>
      </c>
    </row>
    <row r="351" ht="23.25" customHeight="1" s="19">
      <c r="A351" s="24" t="n">
        <v>6291</v>
      </c>
      <c r="B351" s="25" t="inlineStr">
        <is>
          <t>Análisis de Datos de Ventas con IA</t>
        </is>
      </c>
      <c r="C351" s="24" t="inlineStr">
        <is>
          <t>Business Intelligence</t>
        </is>
      </c>
      <c r="D351" s="25" t="inlineStr">
        <is>
          <t>Solución De Análisis De Datos De Ventas Basada En Ia</t>
        </is>
      </c>
      <c r="E351" s="26" t="n">
        <v>199</v>
      </c>
      <c r="F351" s="27">
        <f>E351/Config!$B$1</f>
        <v/>
      </c>
      <c r="G351" s="24" t="inlineStr">
        <is>
          <t>Real</t>
        </is>
      </c>
    </row>
    <row r="352" ht="23.25" customHeight="1" s="19">
      <c r="A352" s="24" t="n">
        <v>8004</v>
      </c>
      <c r="B352" s="25" t="inlineStr">
        <is>
          <t>Análisis de Datos de Ventas con IA</t>
        </is>
      </c>
      <c r="C352" s="24" t="inlineStr">
        <is>
          <t>Business Intelligence</t>
        </is>
      </c>
      <c r="D352" s="25" t="inlineStr">
        <is>
          <t>Solución De Análisis De Datos De Ventas Basada En Ia</t>
        </is>
      </c>
      <c r="E352" s="26" t="n">
        <v>4500</v>
      </c>
      <c r="F352" s="27">
        <f>E352/Config!$B$1</f>
        <v/>
      </c>
      <c r="G352" s="28" t="inlineStr">
        <is>
          <t>Estimado (mediana de categoría)</t>
        </is>
      </c>
    </row>
    <row r="353" ht="23.25" customHeight="1" s="19">
      <c r="A353" s="24" t="n">
        <v>6293</v>
      </c>
      <c r="B353" s="25" t="inlineStr">
        <is>
          <t>Análisis de Datos de la Cadena de Suministro con IA</t>
        </is>
      </c>
      <c r="C353" s="24" t="inlineStr">
        <is>
          <t>Business Intelligence</t>
        </is>
      </c>
      <c r="D353" s="25" t="inlineStr">
        <is>
          <t>Solución De Análisis De Datos De La Cadena De Suministro Con Ia</t>
        </is>
      </c>
      <c r="E353" s="26" t="n">
        <v>199</v>
      </c>
      <c r="F353" s="27">
        <f>E353/Config!$B$1</f>
        <v/>
      </c>
      <c r="G353" s="24" t="inlineStr">
        <is>
          <t>Real</t>
        </is>
      </c>
    </row>
    <row r="354" ht="23.25" customHeight="1" s="19">
      <c r="A354" s="24" t="n">
        <v>8006</v>
      </c>
      <c r="B354" s="25" t="inlineStr">
        <is>
          <t>Análisis de Datos de la Cadena de Suministro con IA</t>
        </is>
      </c>
      <c r="C354" s="24" t="inlineStr">
        <is>
          <t>Business Intelligence</t>
        </is>
      </c>
      <c r="D354" s="25" t="inlineStr">
        <is>
          <t>Solución De Análisis De Datos De La Cadena De Suministro Con Ia</t>
        </is>
      </c>
      <c r="E354" s="26" t="n">
        <v>4500</v>
      </c>
      <c r="F354" s="27">
        <f>E354/Config!$B$1</f>
        <v/>
      </c>
      <c r="G354" s="28" t="inlineStr">
        <is>
          <t>Estimado (mediana de categoría)</t>
        </is>
      </c>
    </row>
    <row r="355" ht="15" customHeight="1" s="19">
      <c r="A355" s="24" t="n">
        <v>6726</v>
      </c>
      <c r="B355" s="25" t="inlineStr">
        <is>
          <t>Análisis de Datos y Métricas</t>
        </is>
      </c>
      <c r="C355" s="24" t="inlineStr">
        <is>
          <t>Business Intelligence</t>
        </is>
      </c>
      <c r="D355" s="25" t="inlineStr">
        <is>
          <t>Análisis De Datos Y Métricas.</t>
        </is>
      </c>
      <c r="E355" s="26" t="n">
        <v>2700</v>
      </c>
      <c r="F355" s="27">
        <f>E355/Config!$B$1</f>
        <v/>
      </c>
      <c r="G355" s="24" t="inlineStr">
        <is>
          <t>Real</t>
        </is>
      </c>
    </row>
    <row r="356" ht="23.25" customHeight="1" s="19">
      <c r="A356" s="24" t="n">
        <v>6285</v>
      </c>
      <c r="B356" s="25" t="inlineStr">
        <is>
          <t>Análisis de Interacciones con Clientes con IA</t>
        </is>
      </c>
      <c r="C356" s="24" t="inlineStr">
        <is>
          <t>Business Intelligence</t>
        </is>
      </c>
      <c r="D356" s="25" t="inlineStr">
        <is>
          <t>Solución De Análisis De Interacciones Con Clientes Basada En Ia</t>
        </is>
      </c>
      <c r="E356" s="26" t="n">
        <v>149</v>
      </c>
      <c r="F356" s="27">
        <f>E356/Config!$B$1</f>
        <v/>
      </c>
      <c r="G356" s="24" t="inlineStr">
        <is>
          <t>Real</t>
        </is>
      </c>
    </row>
    <row r="357" ht="23.25" customHeight="1" s="19">
      <c r="A357" s="24" t="n">
        <v>7998</v>
      </c>
      <c r="B357" s="25" t="inlineStr">
        <is>
          <t>Análisis de Interacciones con Clientes con IA</t>
        </is>
      </c>
      <c r="C357" s="24" t="inlineStr">
        <is>
          <t>Business Intelligence</t>
        </is>
      </c>
      <c r="D357" s="25" t="inlineStr">
        <is>
          <t>Solución De Análisis De Interacciones Con Clientes Basada En Ia</t>
        </is>
      </c>
      <c r="E357" s="26" t="n">
        <v>4500</v>
      </c>
      <c r="F357" s="27">
        <f>E357/Config!$B$1</f>
        <v/>
      </c>
      <c r="G357" s="28" t="inlineStr">
        <is>
          <t>Estimado (mediana de categoría)</t>
        </is>
      </c>
    </row>
    <row r="358" ht="23.25" customHeight="1" s="19">
      <c r="A358" s="24" t="n">
        <v>7527</v>
      </c>
      <c r="B358" s="25" t="inlineStr">
        <is>
          <t>Análisis de Procesos Empresariales: Optimiza tus operaciones para el éxito</t>
        </is>
      </c>
      <c r="C358" s="24" t="inlineStr">
        <is>
          <t>Business Intelligence</t>
        </is>
      </c>
      <c r="D358" s="25" t="inlineStr">
        <is>
          <t>Análisis de Procesos Empresariales: Optimiza el rendimiento y la eficiencia de tu empresa.</t>
        </is>
      </c>
      <c r="E358" s="26" t="n">
        <v>600</v>
      </c>
      <c r="F358" s="27">
        <f>E358/Config!$B$1</f>
        <v/>
      </c>
      <c r="G358" s="24" t="inlineStr">
        <is>
          <t>Real</t>
        </is>
      </c>
    </row>
    <row r="359" ht="15" customHeight="1" s="19">
      <c r="A359" s="24" t="n">
        <v>6067</v>
      </c>
      <c r="B359" s="25" t="inlineStr">
        <is>
          <t>Análisis de Sentimiento</t>
        </is>
      </c>
      <c r="C359" s="24" t="inlineStr">
        <is>
          <t>Business Intelligence</t>
        </is>
      </c>
      <c r="D359" s="25" t="inlineStr">
        <is>
          <t>Análisis De Opiniones Online</t>
        </is>
      </c>
      <c r="E359" s="26" t="n">
        <v>4500</v>
      </c>
      <c r="F359" s="27">
        <f>E359/Config!$B$1</f>
        <v/>
      </c>
      <c r="G359" s="28" t="inlineStr">
        <is>
          <t>Estimado (mediana de categoría)</t>
        </is>
      </c>
    </row>
    <row r="360" ht="15" customHeight="1" s="19">
      <c r="A360" s="24" t="n">
        <v>6059</v>
      </c>
      <c r="B360" s="25" t="inlineStr">
        <is>
          <t>Análisis de Sentimiento de Clientes en Línea</t>
        </is>
      </c>
      <c r="C360" s="24" t="inlineStr">
        <is>
          <t>Business Intelligence</t>
        </is>
      </c>
      <c r="D360" s="25" t="inlineStr">
        <is>
          <t>Evaluación De Sentimiento En Línea.</t>
        </is>
      </c>
      <c r="E360" s="26" t="n">
        <v>3200</v>
      </c>
      <c r="F360" s="27">
        <f>E360/Config!$B$1</f>
        <v/>
      </c>
      <c r="G360" s="24" t="inlineStr">
        <is>
          <t>Real</t>
        </is>
      </c>
    </row>
    <row r="361" ht="15" customHeight="1" s="19">
      <c r="A361" s="24" t="n">
        <v>7794</v>
      </c>
      <c r="B361" s="25" t="inlineStr">
        <is>
          <t>Análisis de Sentimiento de Clientes en Línea</t>
        </is>
      </c>
      <c r="C361" s="24" t="inlineStr">
        <is>
          <t>Business Intelligence</t>
        </is>
      </c>
      <c r="D361" s="25" t="inlineStr">
        <is>
          <t>Evaluación De Sentimiento En Línea.</t>
        </is>
      </c>
      <c r="E361" s="26" t="n">
        <v>4500</v>
      </c>
      <c r="F361" s="27">
        <f>E361/Config!$B$1</f>
        <v/>
      </c>
      <c r="G361" s="28" t="inlineStr">
        <is>
          <t>Estimado (mediana de categoría)</t>
        </is>
      </c>
    </row>
    <row r="362" ht="23.25" customHeight="1" s="19">
      <c r="A362" s="24" t="n">
        <v>6287</v>
      </c>
      <c r="B362" s="25" t="inlineStr">
        <is>
          <t>Análisis de Sentimiento en Llamadas Telefónicas</t>
        </is>
      </c>
      <c r="C362" s="24" t="inlineStr">
        <is>
          <t>Business Intelligence</t>
        </is>
      </c>
      <c r="D362" s="25" t="inlineStr">
        <is>
          <t>Solución De Análisis De Sentimiento En Llamadas Telefónicas Basada En Ia</t>
        </is>
      </c>
      <c r="E362" s="26" t="n">
        <v>149</v>
      </c>
      <c r="F362" s="27">
        <f>E362/Config!$B$1</f>
        <v/>
      </c>
      <c r="G362" s="24" t="inlineStr">
        <is>
          <t>Real</t>
        </is>
      </c>
    </row>
    <row r="363" ht="23.25" customHeight="1" s="19">
      <c r="A363" s="24" t="n">
        <v>8000</v>
      </c>
      <c r="B363" s="25" t="inlineStr">
        <is>
          <t>Análisis de Sentimiento en Llamadas Telefónicas</t>
        </is>
      </c>
      <c r="C363" s="24" t="inlineStr">
        <is>
          <t>Business Intelligence</t>
        </is>
      </c>
      <c r="D363" s="25" t="inlineStr">
        <is>
          <t>Solución De Análisis De Sentimiento En Llamadas Telefónicas Basada En Ia</t>
        </is>
      </c>
      <c r="E363" s="26" t="n">
        <v>4500</v>
      </c>
      <c r="F363" s="27">
        <f>E363/Config!$B$1</f>
        <v/>
      </c>
      <c r="G363" s="28" t="inlineStr">
        <is>
          <t>Estimado (mediana de categoría)</t>
        </is>
      </c>
    </row>
    <row r="364" ht="15" customHeight="1" s="19">
      <c r="A364" s="24" t="n">
        <v>6640</v>
      </c>
      <c r="B364" s="25" t="inlineStr">
        <is>
          <t>Análisis de Sentimiento en Redes Sociales</t>
        </is>
      </c>
      <c r="C364" s="24" t="inlineStr">
        <is>
          <t>Business Intelligence</t>
        </is>
      </c>
      <c r="D364" s="25" t="inlineStr">
        <is>
          <t>Análisis De Sentimiento En Redes Sociales Con Ia.</t>
        </is>
      </c>
      <c r="E364" s="26" t="n">
        <v>700</v>
      </c>
      <c r="F364" s="27">
        <f>E364/Config!$B$1</f>
        <v/>
      </c>
      <c r="G364" s="24" t="inlineStr">
        <is>
          <t>Real</t>
        </is>
      </c>
    </row>
    <row r="365" ht="15" customHeight="1" s="19">
      <c r="A365" s="24" t="n">
        <v>8341</v>
      </c>
      <c r="B365" s="25" t="inlineStr">
        <is>
          <t>Análisis de Sentimiento en Redes Sociales</t>
        </is>
      </c>
      <c r="C365" s="24" t="inlineStr">
        <is>
          <t>Business Intelligence</t>
        </is>
      </c>
      <c r="D365" s="25" t="inlineStr">
        <is>
          <t>Análisis De Sentimiento En Redes Sociales Con Ia.</t>
        </is>
      </c>
      <c r="E365" s="26" t="n">
        <v>4500</v>
      </c>
      <c r="F365" s="27">
        <f>E365/Config!$B$1</f>
        <v/>
      </c>
      <c r="G365" s="28" t="inlineStr">
        <is>
          <t>Estimado (mediana de categoría)</t>
        </is>
      </c>
    </row>
    <row r="366" ht="15" customHeight="1" s="19">
      <c r="A366" s="24" t="n">
        <v>5964</v>
      </c>
      <c r="B366" s="25" t="inlineStr">
        <is>
          <t>Análisis de Sentimientos en Redes Sociales</t>
        </is>
      </c>
      <c r="C366" s="24" t="inlineStr">
        <is>
          <t>Business Intelligence</t>
        </is>
      </c>
      <c r="D366" s="25" t="inlineStr">
        <is>
          <t>Análisis De Sentimientos</t>
        </is>
      </c>
      <c r="E366" s="26" t="n">
        <v>4500</v>
      </c>
      <c r="F366" s="27">
        <f>E366/Config!$B$1</f>
        <v/>
      </c>
      <c r="G366" s="28" t="inlineStr">
        <is>
          <t>Estimado (mediana de categoría)</t>
        </is>
      </c>
    </row>
    <row r="367" ht="15" customHeight="1" s="19">
      <c r="A367" s="24" t="n">
        <v>5920</v>
      </c>
      <c r="B367" s="25" t="inlineStr">
        <is>
          <t>Análisis de datos avanzado</t>
        </is>
      </c>
      <c r="C367" s="24" t="inlineStr">
        <is>
          <t>Business Intelligence</t>
        </is>
      </c>
      <c r="D367" s="25" t="inlineStr">
        <is>
          <t>Análisis De Datos Avanzado.</t>
        </is>
      </c>
      <c r="E367" s="26" t="n">
        <v>6000</v>
      </c>
      <c r="F367" s="27">
        <f>E367/Config!$B$1</f>
        <v/>
      </c>
      <c r="G367" s="24" t="inlineStr">
        <is>
          <t>Real</t>
        </is>
      </c>
    </row>
    <row r="368" ht="15" customHeight="1" s="19">
      <c r="A368" s="24" t="n">
        <v>7702</v>
      </c>
      <c r="B368" s="25" t="inlineStr">
        <is>
          <t>Análisis de datos avanzado</t>
        </is>
      </c>
      <c r="C368" s="24" t="inlineStr">
        <is>
          <t>Business Intelligence</t>
        </is>
      </c>
      <c r="D368" s="25" t="inlineStr">
        <is>
          <t>Análisis De Datos Avanzado.</t>
        </is>
      </c>
      <c r="E368" s="26" t="n">
        <v>4500</v>
      </c>
      <c r="F368" s="27">
        <f>E368/Config!$B$1</f>
        <v/>
      </c>
      <c r="G368" s="28" t="inlineStr">
        <is>
          <t>Estimado (mediana de categoría)</t>
        </is>
      </c>
    </row>
    <row r="369" ht="15" customHeight="1" s="19">
      <c r="A369" s="24" t="n">
        <v>6088</v>
      </c>
      <c r="B369" s="25" t="inlineStr">
        <is>
          <t>Análisis de datos en tiempo real</t>
        </is>
      </c>
      <c r="C369" s="24" t="inlineStr">
        <is>
          <t>Business Intelligence</t>
        </is>
      </c>
      <c r="D369" s="25" t="inlineStr">
        <is>
          <t>Soluciones De Análisis De Datos En Tiempo Real.</t>
        </is>
      </c>
      <c r="E369" s="26" t="n">
        <v>5500</v>
      </c>
      <c r="F369" s="27">
        <f>E369/Config!$B$1</f>
        <v/>
      </c>
      <c r="G369" s="24" t="inlineStr">
        <is>
          <t>Real</t>
        </is>
      </c>
    </row>
    <row r="370" ht="15" customHeight="1" s="19">
      <c r="A370" s="24" t="n">
        <v>7812</v>
      </c>
      <c r="B370" s="25" t="inlineStr">
        <is>
          <t>Análisis de datos en tiempo real</t>
        </is>
      </c>
      <c r="C370" s="24" t="inlineStr">
        <is>
          <t>Business Intelligence</t>
        </is>
      </c>
      <c r="D370" s="25" t="inlineStr">
        <is>
          <t>Soluciones De Análisis De Datos En Tiempo Real.</t>
        </is>
      </c>
      <c r="E370" s="26" t="n">
        <v>4500</v>
      </c>
      <c r="F370" s="27">
        <f>E370/Config!$B$1</f>
        <v/>
      </c>
      <c r="G370" s="28" t="inlineStr">
        <is>
          <t>Estimado (mediana de categoría)</t>
        </is>
      </c>
    </row>
    <row r="371" ht="23.25" customHeight="1" s="19">
      <c r="A371" s="24" t="n">
        <v>6325</v>
      </c>
      <c r="B371" s="25" t="inlineStr">
        <is>
          <t>Análisis de datos y BI</t>
        </is>
      </c>
      <c r="C371" s="24" t="inlineStr">
        <is>
          <t>Business Intelligence</t>
        </is>
      </c>
      <c r="D371" s="25" t="inlineStr">
        <is>
          <t>Servicios De Analítica De Datos Y Business Intelligence.</t>
        </is>
      </c>
      <c r="E371" s="26" t="n">
        <v>3600</v>
      </c>
      <c r="F371" s="27">
        <f>E371/Config!$B$1</f>
        <v/>
      </c>
      <c r="G371" s="24" t="inlineStr">
        <is>
          <t>Real</t>
        </is>
      </c>
    </row>
    <row r="372" ht="23.25" customHeight="1" s="19">
      <c r="A372" s="24" t="n">
        <v>8036</v>
      </c>
      <c r="B372" s="25" t="inlineStr">
        <is>
          <t>Análisis de datos y BI</t>
        </is>
      </c>
      <c r="C372" s="24" t="inlineStr">
        <is>
          <t>Business Intelligence</t>
        </is>
      </c>
      <c r="D372" s="25" t="inlineStr">
        <is>
          <t>Servicios De Analítica De Datos Y Business Intelligence.</t>
        </is>
      </c>
      <c r="E372" s="26" t="n">
        <v>4500</v>
      </c>
      <c r="F372" s="27">
        <f>E372/Config!$B$1</f>
        <v/>
      </c>
      <c r="G372" s="28" t="inlineStr">
        <is>
          <t>Estimado (mediana de categoría)</t>
        </is>
      </c>
    </row>
    <row r="373" ht="23.25" customHeight="1" s="19">
      <c r="A373" s="24" t="n">
        <v>6725</v>
      </c>
      <c r="B373" s="25" t="inlineStr">
        <is>
          <t>Análisis de datos y seguimiento de métricas</t>
        </is>
      </c>
      <c r="C373" s="24" t="inlineStr">
        <is>
          <t>Business Intelligence</t>
        </is>
      </c>
      <c r="D373" s="25" t="inlineStr">
        <is>
          <t>Mejora La Toma De Decisiones Empresariales Con Análisis De Datos.</t>
        </is>
      </c>
      <c r="E373" s="26" t="n">
        <v>2250</v>
      </c>
      <c r="F373" s="27">
        <f>E373/Config!$B$1</f>
        <v/>
      </c>
      <c r="G373" s="24" t="inlineStr">
        <is>
          <t>Real</t>
        </is>
      </c>
    </row>
    <row r="374" ht="15" customHeight="1" s="19">
      <c r="A374" s="24" t="n">
        <v>6182</v>
      </c>
      <c r="B374" s="25" t="inlineStr">
        <is>
          <t>Análisis de la Competencia</t>
        </is>
      </c>
      <c r="C374" s="24" t="inlineStr">
        <is>
          <t>Business Intelligence</t>
        </is>
      </c>
      <c r="D374" s="25" t="inlineStr">
        <is>
          <t>Análisis Competitivo Con Ia</t>
        </is>
      </c>
      <c r="E374" s="26" t="n">
        <v>180</v>
      </c>
      <c r="F374" s="27">
        <f>E374/Config!$B$1</f>
        <v/>
      </c>
      <c r="G374" s="24" t="inlineStr">
        <is>
          <t>Real</t>
        </is>
      </c>
    </row>
    <row r="375" ht="15" customHeight="1" s="19">
      <c r="A375" s="24" t="n">
        <v>7906</v>
      </c>
      <c r="B375" s="25" t="inlineStr">
        <is>
          <t>Análisis de la Competencia</t>
        </is>
      </c>
      <c r="C375" s="24" t="inlineStr">
        <is>
          <t>Business Intelligence</t>
        </is>
      </c>
      <c r="D375" s="25" t="inlineStr">
        <is>
          <t>Análisis Competitivo Con Ia</t>
        </is>
      </c>
      <c r="E375" s="26" t="n">
        <v>4500</v>
      </c>
      <c r="F375" s="27">
        <f>E375/Config!$B$1</f>
        <v/>
      </c>
      <c r="G375" s="28" t="inlineStr">
        <is>
          <t>Estimado (mediana de categoría)</t>
        </is>
      </c>
    </row>
    <row r="376" ht="23.25" customHeight="1" s="19">
      <c r="A376" s="24" t="n">
        <v>6281</v>
      </c>
      <c r="B376" s="25" t="inlineStr">
        <is>
          <t>Análisis de la Competencia con IA</t>
        </is>
      </c>
      <c r="C376" s="24" t="inlineStr">
        <is>
          <t>Business Intelligence</t>
        </is>
      </c>
      <c r="D376" s="25" t="inlineStr">
        <is>
          <t>Solución De Análisis De La Competencia Basada En Ia</t>
        </is>
      </c>
      <c r="E376" s="26" t="n">
        <v>199</v>
      </c>
      <c r="F376" s="27">
        <f>E376/Config!$B$1</f>
        <v/>
      </c>
      <c r="G376" s="24" t="inlineStr">
        <is>
          <t>Real</t>
        </is>
      </c>
    </row>
    <row r="377" ht="23.25" customHeight="1" s="19">
      <c r="A377" s="24" t="n">
        <v>7994</v>
      </c>
      <c r="B377" s="25" t="inlineStr">
        <is>
          <t>Análisis de la Competencia con IA</t>
        </is>
      </c>
      <c r="C377" s="24" t="inlineStr">
        <is>
          <t>Business Intelligence</t>
        </is>
      </c>
      <c r="D377" s="25" t="inlineStr">
        <is>
          <t>Solución De Análisis De La Competencia Basada En Ia</t>
        </is>
      </c>
      <c r="E377" s="26" t="n">
        <v>4500</v>
      </c>
      <c r="F377" s="27">
        <f>E377/Config!$B$1</f>
        <v/>
      </c>
      <c r="G377" s="28" t="inlineStr">
        <is>
          <t>Estimado (mediana de categoría)</t>
        </is>
      </c>
    </row>
    <row r="378" ht="15" customHeight="1" s="19">
      <c r="A378" s="24" t="n">
        <v>6323</v>
      </c>
      <c r="B378" s="25" t="inlineStr">
        <is>
          <t>Análisis de mercado</t>
        </is>
      </c>
      <c r="C378" s="24" t="inlineStr">
        <is>
          <t>Business Intelligence</t>
        </is>
      </c>
      <c r="D378" s="25" t="inlineStr">
        <is>
          <t>Servicios De Investigación Y Análisis De Mercados.</t>
        </is>
      </c>
      <c r="E378" s="26" t="n">
        <v>1800</v>
      </c>
      <c r="F378" s="27">
        <f>E378/Config!$B$1</f>
        <v/>
      </c>
      <c r="G378" s="24" t="inlineStr">
        <is>
          <t>Real</t>
        </is>
      </c>
    </row>
    <row r="379" ht="15" customHeight="1" s="19">
      <c r="A379" s="24" t="n">
        <v>8034</v>
      </c>
      <c r="B379" s="25" t="inlineStr">
        <is>
          <t>Análisis de mercado</t>
        </is>
      </c>
      <c r="C379" s="24" t="inlineStr">
        <is>
          <t>Business Intelligence</t>
        </is>
      </c>
      <c r="D379" s="25" t="inlineStr">
        <is>
          <t>Servicios De Investigación Y Análisis De Mercados.</t>
        </is>
      </c>
      <c r="E379" s="26" t="n">
        <v>4500</v>
      </c>
      <c r="F379" s="27">
        <f>E379/Config!$B$1</f>
        <v/>
      </c>
      <c r="G379" s="28" t="inlineStr">
        <is>
          <t>Estimado (mediana de categoría)</t>
        </is>
      </c>
    </row>
    <row r="380" ht="15" customHeight="1" s="19">
      <c r="A380" s="24" t="n">
        <v>5925</v>
      </c>
      <c r="B380" s="25" t="inlineStr">
        <is>
          <t>Análisis de sentimientos y minería de texto</t>
        </is>
      </c>
      <c r="C380" s="24" t="inlineStr">
        <is>
          <t>Business Intelligence</t>
        </is>
      </c>
      <c r="D380" s="25" t="inlineStr">
        <is>
          <t>Análisis De Sentimientos Y Minería De Texto</t>
        </is>
      </c>
      <c r="E380" s="26" t="n">
        <v>5000</v>
      </c>
      <c r="F380" s="27">
        <f>E380/Config!$B$1</f>
        <v/>
      </c>
      <c r="G380" s="24" t="inlineStr">
        <is>
          <t>Real</t>
        </is>
      </c>
    </row>
    <row r="381" ht="15" customHeight="1" s="19">
      <c r="A381" s="24" t="n">
        <v>7707</v>
      </c>
      <c r="B381" s="25" t="inlineStr">
        <is>
          <t>Análisis de sentimientos y minería de texto</t>
        </is>
      </c>
      <c r="C381" s="24" t="inlineStr">
        <is>
          <t>Business Intelligence</t>
        </is>
      </c>
      <c r="D381" s="25" t="inlineStr">
        <is>
          <t>Análisis De Sentimientos Y Minería De Texto</t>
        </is>
      </c>
      <c r="E381" s="26" t="n">
        <v>4500</v>
      </c>
      <c r="F381" s="27">
        <f>E381/Config!$B$1</f>
        <v/>
      </c>
      <c r="G381" s="28" t="inlineStr">
        <is>
          <t>Estimado (mediana de categoría)</t>
        </is>
      </c>
    </row>
    <row r="382" ht="23.25" customHeight="1" s="19">
      <c r="A382" s="24" t="n">
        <v>6081</v>
      </c>
      <c r="B382" s="25" t="inlineStr">
        <is>
          <t>Análisis de sentimientos y reputación en redes sociales</t>
        </is>
      </c>
      <c r="C382" s="24" t="inlineStr">
        <is>
          <t>Business Intelligence</t>
        </is>
      </c>
      <c r="D382" s="25" t="inlineStr">
        <is>
          <t>Análisis De Sentimientos Y Gestión De La Reputación En Redes Sociales.</t>
        </is>
      </c>
      <c r="E382" s="26" t="n">
        <v>2500</v>
      </c>
      <c r="F382" s="27">
        <f>E382/Config!$B$1</f>
        <v/>
      </c>
      <c r="G382" s="24" t="inlineStr">
        <is>
          <t>Real</t>
        </is>
      </c>
    </row>
    <row r="383" ht="23.25" customHeight="1" s="19">
      <c r="A383" s="24" t="n">
        <v>7449</v>
      </c>
      <c r="B383" s="25" t="inlineStr">
        <is>
          <t>Análisis inicial de datos y métricas básicas para pequeñas empresas o proyectos de bajo alcance.</t>
        </is>
      </c>
      <c r="C383" s="24" t="inlineStr">
        <is>
          <t>Business Intelligence</t>
        </is>
      </c>
      <c r="D383" s="25" t="n"/>
      <c r="E383" s="26" t="n">
        <v>4500</v>
      </c>
      <c r="F383" s="27">
        <f>E383/Config!$B$1</f>
        <v/>
      </c>
      <c r="G383" s="28" t="inlineStr">
        <is>
          <t>Estimado (mediana de categoría)</t>
        </is>
      </c>
    </row>
    <row r="384" ht="23.25" customHeight="1" s="19">
      <c r="A384" s="24" t="n">
        <v>6076</v>
      </c>
      <c r="B384" s="25" t="inlineStr">
        <is>
          <t>Análisis predictivo y minería de datos</t>
        </is>
      </c>
      <c r="C384" s="24" t="inlineStr">
        <is>
          <t>Business Intelligence</t>
        </is>
      </c>
      <c r="D384" s="25" t="inlineStr">
        <is>
          <t>Soluciones De Análisis Predictivo Y Minería De Datos.</t>
        </is>
      </c>
      <c r="E384" s="26" t="n">
        <v>3600</v>
      </c>
      <c r="F384" s="27">
        <f>E384/Config!$B$1</f>
        <v/>
      </c>
      <c r="G384" s="24" t="inlineStr">
        <is>
          <t>Real</t>
        </is>
      </c>
    </row>
    <row r="385" ht="23.25" customHeight="1" s="19">
      <c r="A385" s="24" t="n">
        <v>7800</v>
      </c>
      <c r="B385" s="25" t="inlineStr">
        <is>
          <t>Análisis predictivo y minería de datos</t>
        </is>
      </c>
      <c r="C385" s="24" t="inlineStr">
        <is>
          <t>Business Intelligence</t>
        </is>
      </c>
      <c r="D385" s="25" t="inlineStr">
        <is>
          <t>Soluciones De Análisis Predictivo Y Minería De Datos.</t>
        </is>
      </c>
      <c r="E385" s="26" t="n">
        <v>4500</v>
      </c>
      <c r="F385" s="27">
        <f>E385/Config!$B$1</f>
        <v/>
      </c>
      <c r="G385" s="28" t="inlineStr">
        <is>
          <t>Estimado (mediana de categoría)</t>
        </is>
      </c>
    </row>
    <row r="386" ht="15" customHeight="1" s="19">
      <c r="A386" s="24" t="n">
        <v>6724</v>
      </c>
      <c r="B386" s="25" t="inlineStr">
        <is>
          <t>Análisis y Gestión de Datos</t>
        </is>
      </c>
      <c r="C386" s="24" t="inlineStr">
        <is>
          <t>Business Intelligence</t>
        </is>
      </c>
      <c r="D386" s="25" t="n"/>
      <c r="E386" s="26" t="n">
        <v>10</v>
      </c>
      <c r="F386" s="27">
        <f>E386/Config!$B$1</f>
        <v/>
      </c>
      <c r="G386" s="24" t="inlineStr">
        <is>
          <t>Real</t>
        </is>
      </c>
    </row>
    <row r="387" ht="23.25" customHeight="1" s="19">
      <c r="A387" s="24" t="n">
        <v>8364</v>
      </c>
      <c r="B387" s="25" t="inlineStr">
        <is>
          <t>Análisis y Optimización de Conversiones para Ecommerce: Maximiza tus Ventas Online</t>
        </is>
      </c>
      <c r="C387" s="24" t="inlineStr">
        <is>
          <t>Business Intelligence</t>
        </is>
      </c>
      <c r="D387" s="25" t="inlineStr">
        <is>
          <t>Análisis y Optimización de Conversiones para Ecommerce: Maximiza tus ventas online</t>
        </is>
      </c>
      <c r="E387" s="26" t="n">
        <v>4500</v>
      </c>
      <c r="F387" s="27">
        <f>E387/Config!$B$1</f>
        <v/>
      </c>
      <c r="G387" s="28" t="inlineStr">
        <is>
          <t>Estimado (mediana de categoría)</t>
        </is>
      </c>
    </row>
    <row r="388" ht="23.25" customHeight="1" s="19">
      <c r="A388" s="24" t="n">
        <v>6663</v>
      </c>
      <c r="B388" s="25" t="inlineStr">
        <is>
          <t>Análisis y Optimización de Conversiones para Ecommerce: Mejora tus Tasas de Conversión</t>
        </is>
      </c>
      <c r="C388" s="24" t="inlineStr">
        <is>
          <t>Business Intelligence</t>
        </is>
      </c>
      <c r="D388" s="25" t="inlineStr">
        <is>
          <t>Análisis y Optimización de Conversiones Ecommerce: Maximiza tus ventas online</t>
        </is>
      </c>
      <c r="E388" s="26" t="n">
        <v>1200</v>
      </c>
      <c r="F388" s="27">
        <f>E388/Config!$B$1</f>
        <v/>
      </c>
      <c r="G388" s="24" t="inlineStr">
        <is>
          <t>Real</t>
        </is>
      </c>
    </row>
    <row r="389" ht="23.25" customHeight="1" s="19">
      <c r="A389" s="24" t="n">
        <v>8357</v>
      </c>
      <c r="B389" s="25" t="inlineStr">
        <is>
          <t>Análisis y Reportes Ecommerce: Monitorea y Optimiza tu Tienda Online</t>
        </is>
      </c>
      <c r="C389" s="24" t="inlineStr">
        <is>
          <t>Business Intelligence</t>
        </is>
      </c>
      <c r="D389" s="25" t="inlineStr">
        <is>
          <t>Análisis y Reportes de Datos de Ecommerce</t>
        </is>
      </c>
      <c r="E389" s="26" t="n">
        <v>4500</v>
      </c>
      <c r="F389" s="27">
        <f>E389/Config!$B$1</f>
        <v/>
      </c>
      <c r="G389" s="28" t="inlineStr">
        <is>
          <t>Estimado (mediana de categoría)</t>
        </is>
      </c>
    </row>
    <row r="390" ht="23.25" customHeight="1" s="19">
      <c r="A390" s="24" t="n">
        <v>6990</v>
      </c>
      <c r="B390" s="25" t="inlineStr">
        <is>
          <t>Asistencia Técnica en la Implementación de Machine Learning</t>
        </is>
      </c>
      <c r="C390" s="24" t="inlineStr">
        <is>
          <t>Business Intelligence</t>
        </is>
      </c>
      <c r="D390" s="25" t="inlineStr">
        <is>
          <t>Machine Learning</t>
        </is>
      </c>
      <c r="E390" s="26" t="n">
        <v>5800</v>
      </c>
      <c r="F390" s="27">
        <f>E390/Config!$B$1</f>
        <v/>
      </c>
      <c r="G390" s="24" t="inlineStr">
        <is>
          <t>Real</t>
        </is>
      </c>
    </row>
    <row r="391" ht="15" customHeight="1" s="19">
      <c r="A391" s="24" t="n">
        <v>5912</v>
      </c>
      <c r="B391" s="25" t="inlineStr">
        <is>
          <t>Automatización de Reportes Ejecutivos</t>
        </is>
      </c>
      <c r="C391" s="24" t="inlineStr">
        <is>
          <t>Business Intelligence</t>
        </is>
      </c>
      <c r="D391" s="25" t="inlineStr">
        <is>
          <t>Automatización De Reportes Con Pentaho</t>
        </is>
      </c>
      <c r="E391" s="26" t="n">
        <v>4500</v>
      </c>
      <c r="F391" s="27">
        <f>E391/Config!$B$1</f>
        <v/>
      </c>
      <c r="G391" s="24" t="inlineStr">
        <is>
          <t>Real</t>
        </is>
      </c>
    </row>
    <row r="392" ht="15" customHeight="1" s="19">
      <c r="A392" s="24" t="n">
        <v>7694</v>
      </c>
      <c r="B392" s="25" t="inlineStr">
        <is>
          <t>Automatización de Reportes Ejecutivos</t>
        </is>
      </c>
      <c r="C392" s="24" t="inlineStr">
        <is>
          <t>Business Intelligence</t>
        </is>
      </c>
      <c r="D392" s="25" t="inlineStr">
        <is>
          <t>Automatización De Reportes Con Pentaho</t>
        </is>
      </c>
      <c r="E392" s="26" t="n">
        <v>4500</v>
      </c>
      <c r="F392" s="27">
        <f>E392/Config!$B$1</f>
        <v/>
      </c>
      <c r="G392" s="28" t="inlineStr">
        <is>
          <t>Estimado (mediana de categoría)</t>
        </is>
      </c>
    </row>
    <row r="393" ht="15" customHeight="1" s="19">
      <c r="A393" s="24" t="n">
        <v>5909</v>
      </c>
      <c r="B393" s="25" t="inlineStr">
        <is>
          <t>BI (Business Intelligence)</t>
        </is>
      </c>
      <c r="C393" s="24" t="inlineStr">
        <is>
          <t>Business Intelligence</t>
        </is>
      </c>
      <c r="D393" s="25" t="inlineStr">
        <is>
          <t>Análisis De Datos Personalizado</t>
        </is>
      </c>
      <c r="E393" s="26" t="n">
        <v>6500</v>
      </c>
      <c r="F393" s="27">
        <f>E393/Config!$B$1</f>
        <v/>
      </c>
      <c r="G393" s="24" t="inlineStr">
        <is>
          <t>Real</t>
        </is>
      </c>
    </row>
    <row r="394" ht="15" customHeight="1" s="19">
      <c r="A394" s="24" t="n">
        <v>7691</v>
      </c>
      <c r="B394" s="25" t="inlineStr">
        <is>
          <t>BI (Business Intelligence)</t>
        </is>
      </c>
      <c r="C394" s="24" t="inlineStr">
        <is>
          <t>Business Intelligence</t>
        </is>
      </c>
      <c r="D394" s="25" t="inlineStr">
        <is>
          <t>Análisis De Datos Personalizado</t>
        </is>
      </c>
      <c r="E394" s="26" t="n">
        <v>4500</v>
      </c>
      <c r="F394" s="27">
        <f>E394/Config!$B$1</f>
        <v/>
      </c>
      <c r="G394" s="28" t="inlineStr">
        <is>
          <t>Estimado (mediana de categoría)</t>
        </is>
      </c>
    </row>
    <row r="395" ht="15" customHeight="1" s="19">
      <c r="A395" s="24" t="n">
        <v>5950</v>
      </c>
      <c r="B395" s="25" t="inlineStr">
        <is>
          <t>BI y Dashboards</t>
        </is>
      </c>
      <c r="C395" s="24" t="inlineStr">
        <is>
          <t>Business Intelligence</t>
        </is>
      </c>
      <c r="D395" s="25" t="inlineStr">
        <is>
          <t>Bi Y Dashboards</t>
        </is>
      </c>
      <c r="E395" s="26" t="n">
        <v>4500</v>
      </c>
      <c r="F395" s="27">
        <f>E395/Config!$B$1</f>
        <v/>
      </c>
      <c r="G395" s="28" t="inlineStr">
        <is>
          <t>Estimado (mediana de categoría)</t>
        </is>
      </c>
    </row>
    <row r="396" ht="15" customHeight="1" s="19">
      <c r="A396" s="24" t="n">
        <v>6723</v>
      </c>
      <c r="B396" s="25" t="inlineStr">
        <is>
          <t>Business Intelligence</t>
        </is>
      </c>
      <c r="C396" s="24" t="inlineStr">
        <is>
          <t>Business Intelligence</t>
        </is>
      </c>
      <c r="D396" s="25" t="inlineStr">
        <is>
          <t>Inteligencia De Negocio</t>
        </is>
      </c>
      <c r="E396" s="26" t="n">
        <v>4500</v>
      </c>
      <c r="F396" s="27">
        <f>E396/Config!$B$1</f>
        <v/>
      </c>
      <c r="G396" s="28" t="inlineStr">
        <is>
          <t>Estimado (mediana de categoría)</t>
        </is>
      </c>
    </row>
    <row r="397" ht="15" customHeight="1" s="19">
      <c r="A397" s="24" t="n">
        <v>6125</v>
      </c>
      <c r="B397" s="25" t="inlineStr">
        <is>
          <t>Business Intelligence (BI)</t>
        </is>
      </c>
      <c r="C397" s="24" t="inlineStr">
        <is>
          <t>Business Intelligence</t>
        </is>
      </c>
      <c r="D397" s="25" t="inlineStr">
        <is>
          <t>Inteligencia De Negocios</t>
        </is>
      </c>
      <c r="E397" s="26" t="n">
        <v>4500</v>
      </c>
      <c r="F397" s="27">
        <f>E397/Config!$B$1</f>
        <v/>
      </c>
      <c r="G397" s="24" t="inlineStr">
        <is>
          <t>Real</t>
        </is>
      </c>
    </row>
    <row r="398" ht="15" customHeight="1" s="19">
      <c r="A398" s="24" t="n">
        <v>7849</v>
      </c>
      <c r="B398" s="25" t="inlineStr">
        <is>
          <t>Business Intelligence (BI)</t>
        </is>
      </c>
      <c r="C398" s="24" t="inlineStr">
        <is>
          <t>Business Intelligence</t>
        </is>
      </c>
      <c r="D398" s="25" t="inlineStr">
        <is>
          <t>Inteligencia De Negocios</t>
        </is>
      </c>
      <c r="E398" s="26" t="n">
        <v>4500</v>
      </c>
      <c r="F398" s="27">
        <f>E398/Config!$B$1</f>
        <v/>
      </c>
      <c r="G398" s="28" t="inlineStr">
        <is>
          <t>Estimado (mediana de categoría)</t>
        </is>
      </c>
    </row>
    <row r="399" ht="15" customHeight="1" s="19">
      <c r="A399" s="24" t="n">
        <v>5888</v>
      </c>
      <c r="B399" s="25" t="inlineStr">
        <is>
          <t>Business Intelligence Setup</t>
        </is>
      </c>
      <c r="C399" s="24" t="inlineStr">
        <is>
          <t>Business Intelligence</t>
        </is>
      </c>
      <c r="D399" s="25" t="inlineStr">
        <is>
          <t>Implementación De Bi</t>
        </is>
      </c>
      <c r="E399" s="26" t="n">
        <v>5000</v>
      </c>
      <c r="F399" s="27">
        <f>E399/Config!$B$1</f>
        <v/>
      </c>
      <c r="G399" s="24" t="inlineStr">
        <is>
          <t>Real</t>
        </is>
      </c>
    </row>
    <row r="400" ht="15" customHeight="1" s="19">
      <c r="A400" s="24" t="n">
        <v>7670</v>
      </c>
      <c r="B400" s="25" t="inlineStr">
        <is>
          <t>Business Intelligence Setup</t>
        </is>
      </c>
      <c r="C400" s="24" t="inlineStr">
        <is>
          <t>Business Intelligence</t>
        </is>
      </c>
      <c r="D400" s="25" t="inlineStr">
        <is>
          <t>Implementación De Bi</t>
        </is>
      </c>
      <c r="E400" s="26" t="n">
        <v>4500</v>
      </c>
      <c r="F400" s="27">
        <f>E400/Config!$B$1</f>
        <v/>
      </c>
      <c r="G400" s="28" t="inlineStr">
        <is>
          <t>Estimado (mediana de categoría)</t>
        </is>
      </c>
    </row>
    <row r="401" ht="15" customHeight="1" s="19">
      <c r="A401" s="24" t="n">
        <v>6070</v>
      </c>
      <c r="B401" s="25" t="inlineStr">
        <is>
          <t>Ciencia de Datos</t>
        </is>
      </c>
      <c r="C401" s="24" t="inlineStr">
        <is>
          <t>Business Intelligence</t>
        </is>
      </c>
      <c r="D401" s="25" t="inlineStr">
        <is>
          <t>Consultoría En Analítica</t>
        </is>
      </c>
      <c r="E401" s="26" t="n">
        <v>4500</v>
      </c>
      <c r="F401" s="27">
        <f>E401/Config!$B$1</f>
        <v/>
      </c>
      <c r="G401" s="28" t="inlineStr">
        <is>
          <t>Estimado (mediana de categoría)</t>
        </is>
      </c>
    </row>
    <row r="402" ht="34.5" customHeight="1" s="19">
      <c r="A402" s="24" t="n">
        <v>7543</v>
      </c>
      <c r="B402" s="25" t="inlineStr">
        <is>
          <t>Consultoría Adicional Básica: Asesoría Experta para Optimizar tu Negocio</t>
        </is>
      </c>
      <c r="C402" s="24" t="inlineStr">
        <is>
          <t>Business Intelligence</t>
        </is>
      </c>
      <c r="D402" s="25" t="inlineStr">
        <is>
          <t>Consultoría Adicional Básica: Asesoramiento personalizado, análisis exhaustivo y planes de acción para el éxito empresarial.</t>
        </is>
      </c>
      <c r="E402" s="26" t="n">
        <v>1000</v>
      </c>
      <c r="F402" s="27">
        <f>E402/Config!$B$1</f>
        <v/>
      </c>
      <c r="G402" s="24" t="inlineStr">
        <is>
          <t>Real</t>
        </is>
      </c>
    </row>
    <row r="403" ht="15" customHeight="1" s="19">
      <c r="A403" s="24" t="n">
        <v>7447</v>
      </c>
      <c r="B403" s="25" t="inlineStr">
        <is>
          <t>Consultoría Continua en BI</t>
        </is>
      </c>
      <c r="C403" s="24" t="inlineStr">
        <is>
          <t>Business Intelligence</t>
        </is>
      </c>
      <c r="D403" s="25" t="n"/>
      <c r="E403" s="26" t="n">
        <v>4500</v>
      </c>
      <c r="F403" s="27">
        <f>E403/Config!$B$1</f>
        <v/>
      </c>
      <c r="G403" s="28" t="inlineStr">
        <is>
          <t>Estimado (mediana de categoría)</t>
        </is>
      </c>
    </row>
    <row r="404" ht="15" customHeight="1" s="19">
      <c r="A404" s="24" t="n">
        <v>6016</v>
      </c>
      <c r="B404" s="25" t="inlineStr">
        <is>
          <t>Consultoría Digital</t>
        </is>
      </c>
      <c r="C404" s="24" t="inlineStr">
        <is>
          <t>Business Intelligence</t>
        </is>
      </c>
      <c r="D404" s="25" t="inlineStr">
        <is>
          <t>Transformación Digital</t>
        </is>
      </c>
      <c r="E404" s="26" t="n">
        <v>4500</v>
      </c>
      <c r="F404" s="27">
        <f>E404/Config!$B$1</f>
        <v/>
      </c>
      <c r="G404" s="28" t="inlineStr">
        <is>
          <t>Estimado (mediana de categoría)</t>
        </is>
      </c>
    </row>
    <row r="405" ht="15" customHeight="1" s="19">
      <c r="A405" s="24" t="n">
        <v>6029</v>
      </c>
      <c r="B405" s="25" t="inlineStr">
        <is>
          <t>Consultoría Estratégica</t>
        </is>
      </c>
      <c r="C405" s="24" t="inlineStr">
        <is>
          <t>Business Intelligence</t>
        </is>
      </c>
      <c r="D405" s="25" t="inlineStr">
        <is>
          <t>Estrategia</t>
        </is>
      </c>
      <c r="E405" s="26" t="n">
        <v>4500</v>
      </c>
      <c r="F405" s="27">
        <f>E405/Config!$B$1</f>
        <v/>
      </c>
      <c r="G405" s="28" t="inlineStr">
        <is>
          <t>Estimado (mediana de categoría)</t>
        </is>
      </c>
    </row>
    <row r="406" ht="15" customHeight="1" s="19">
      <c r="A406" s="24" t="n">
        <v>6025</v>
      </c>
      <c r="B406" s="25" t="inlineStr">
        <is>
          <t>Consultoría Organizacional</t>
        </is>
      </c>
      <c r="C406" s="24" t="inlineStr">
        <is>
          <t>Business Intelligence</t>
        </is>
      </c>
      <c r="D406" s="25" t="inlineStr">
        <is>
          <t>Transformación</t>
        </is>
      </c>
      <c r="E406" s="26" t="n">
        <v>4500</v>
      </c>
      <c r="F406" s="27">
        <f>E406/Config!$B$1</f>
        <v/>
      </c>
      <c r="G406" s="28" t="inlineStr">
        <is>
          <t>Estimado (mediana de categoría)</t>
        </is>
      </c>
    </row>
    <row r="407" ht="15" customHeight="1" s="19">
      <c r="A407" s="24" t="n">
        <v>6026</v>
      </c>
      <c r="B407" s="25" t="inlineStr">
        <is>
          <t>Consultoría de Datos</t>
        </is>
      </c>
      <c r="C407" s="24" t="inlineStr">
        <is>
          <t>Business Intelligence</t>
        </is>
      </c>
      <c r="D407" s="25" t="inlineStr">
        <is>
          <t>Gobierno De Datos.</t>
        </is>
      </c>
      <c r="E407" s="26" t="n">
        <v>4500</v>
      </c>
      <c r="F407" s="27">
        <f>E407/Config!$B$1</f>
        <v/>
      </c>
      <c r="G407" s="28" t="inlineStr">
        <is>
          <t>Estimado (mediana de categoría)</t>
        </is>
      </c>
    </row>
    <row r="408" ht="23.25" customHeight="1" s="19">
      <c r="A408" s="24" t="n">
        <v>6489</v>
      </c>
      <c r="B408" s="25" t="inlineStr">
        <is>
          <t>Consultoría de estrategia digital</t>
        </is>
      </c>
      <c r="C408" s="24" t="inlineStr">
        <is>
          <t>Business Intelligence</t>
        </is>
      </c>
      <c r="D408" s="25" t="inlineStr">
        <is>
          <t>Consultoría Para La Transformación Digital De Negocios.</t>
        </is>
      </c>
      <c r="E408" s="26" t="n">
        <v>1800</v>
      </c>
      <c r="F408" s="27">
        <f>E408/Config!$B$1</f>
        <v/>
      </c>
      <c r="G408" s="24" t="inlineStr">
        <is>
          <t>Real</t>
        </is>
      </c>
    </row>
    <row r="409" ht="23.25" customHeight="1" s="19">
      <c r="A409" s="24" t="n">
        <v>8191</v>
      </c>
      <c r="B409" s="25" t="inlineStr">
        <is>
          <t>Consultoría de estrategia digital</t>
        </is>
      </c>
      <c r="C409" s="24" t="inlineStr">
        <is>
          <t>Business Intelligence</t>
        </is>
      </c>
      <c r="D409" s="25" t="inlineStr">
        <is>
          <t>Consultoría Para La Transformación Digital De Negocios.</t>
        </is>
      </c>
      <c r="E409" s="26" t="n">
        <v>4500</v>
      </c>
      <c r="F409" s="27">
        <f>E409/Config!$B$1</f>
        <v/>
      </c>
      <c r="G409" s="28" t="inlineStr">
        <is>
          <t>Estimado (mediana de categoría)</t>
        </is>
      </c>
    </row>
    <row r="410" ht="15" customHeight="1" s="19">
      <c r="A410" s="24" t="n">
        <v>6471</v>
      </c>
      <c r="B410" s="25" t="inlineStr">
        <is>
          <t>Consultoría empresarial</t>
        </is>
      </c>
      <c r="C410" s="24" t="inlineStr">
        <is>
          <t>Business Intelligence</t>
        </is>
      </c>
      <c r="D410" s="25" t="inlineStr">
        <is>
          <t>Servicio De Consultoría Estratégica Para Empresas.</t>
        </is>
      </c>
      <c r="E410" s="26" t="n">
        <v>2500</v>
      </c>
      <c r="F410" s="27">
        <f>E410/Config!$B$1</f>
        <v/>
      </c>
      <c r="G410" s="24" t="inlineStr">
        <is>
          <t>Real</t>
        </is>
      </c>
    </row>
    <row r="411" ht="15" customHeight="1" s="19">
      <c r="A411" s="24" t="n">
        <v>8181</v>
      </c>
      <c r="B411" s="25" t="inlineStr">
        <is>
          <t>Consultoría empresarial</t>
        </is>
      </c>
      <c r="C411" s="24" t="inlineStr">
        <is>
          <t>Business Intelligence</t>
        </is>
      </c>
      <c r="D411" s="25" t="inlineStr">
        <is>
          <t>Servicio De Consultoría Estratégica Para Empresas.</t>
        </is>
      </c>
      <c r="E411" s="26" t="n">
        <v>4500</v>
      </c>
      <c r="F411" s="27">
        <f>E411/Config!$B$1</f>
        <v/>
      </c>
      <c r="G411" s="28" t="inlineStr">
        <is>
          <t>Estimado (mediana de categoría)</t>
        </is>
      </c>
    </row>
    <row r="412" ht="15" customHeight="1" s="19">
      <c r="A412" s="24" t="n">
        <v>5942</v>
      </c>
      <c r="B412" s="25" t="inlineStr">
        <is>
          <t>Consultoría en Analítica Avanzada y Ciencia de Datos</t>
        </is>
      </c>
      <c r="C412" s="24" t="inlineStr">
        <is>
          <t>Business Intelligence</t>
        </is>
      </c>
      <c r="D412" s="25" t="inlineStr">
        <is>
          <t>Analítica Avanzada Y Ciencia De Datos</t>
        </is>
      </c>
      <c r="E412" s="26" t="n">
        <v>6500</v>
      </c>
      <c r="F412" s="27">
        <f>E412/Config!$B$1</f>
        <v/>
      </c>
      <c r="G412" s="24" t="inlineStr">
        <is>
          <t>Real</t>
        </is>
      </c>
    </row>
    <row r="413" ht="15" customHeight="1" s="19">
      <c r="A413" s="24" t="n">
        <v>7724</v>
      </c>
      <c r="B413" s="25" t="inlineStr">
        <is>
          <t>Consultoría en Analítica Avanzada y Ciencia de Datos</t>
        </is>
      </c>
      <c r="C413" s="24" t="inlineStr">
        <is>
          <t>Business Intelligence</t>
        </is>
      </c>
      <c r="D413" s="25" t="inlineStr">
        <is>
          <t>Analítica Avanzada Y Ciencia De Datos</t>
        </is>
      </c>
      <c r="E413" s="26" t="n">
        <v>4500</v>
      </c>
      <c r="F413" s="27">
        <f>E413/Config!$B$1</f>
        <v/>
      </c>
      <c r="G413" s="28" t="inlineStr">
        <is>
          <t>Estimado (mediana de categoría)</t>
        </is>
      </c>
    </row>
    <row r="414" ht="15" customHeight="1" s="19">
      <c r="A414" s="24" t="n">
        <v>6220</v>
      </c>
      <c r="B414" s="25" t="inlineStr">
        <is>
          <t>Consultoría en Big Data</t>
        </is>
      </c>
      <c r="C414" s="24" t="inlineStr">
        <is>
          <t>Business Intelligence</t>
        </is>
      </c>
      <c r="D414" s="25" t="inlineStr">
        <is>
          <t>Consultoría En Big Data</t>
        </is>
      </c>
      <c r="E414" s="26" t="n">
        <v>4500</v>
      </c>
      <c r="F414" s="27">
        <f>E414/Config!$B$1</f>
        <v/>
      </c>
      <c r="G414" s="24" t="inlineStr">
        <is>
          <t>Real</t>
        </is>
      </c>
    </row>
    <row r="415" ht="15" customHeight="1" s="19">
      <c r="A415" s="24" t="n">
        <v>7944</v>
      </c>
      <c r="B415" s="25" t="inlineStr">
        <is>
          <t>Consultoría en Big Data</t>
        </is>
      </c>
      <c r="C415" s="24" t="inlineStr">
        <is>
          <t>Business Intelligence</t>
        </is>
      </c>
      <c r="D415" s="25" t="inlineStr">
        <is>
          <t>Consultoría En Big Data</t>
        </is>
      </c>
      <c r="E415" s="26" t="n">
        <v>4500</v>
      </c>
      <c r="F415" s="27">
        <f>E415/Config!$B$1</f>
        <v/>
      </c>
      <c r="G415" s="28" t="inlineStr">
        <is>
          <t>Estimado (mediana de categoría)</t>
        </is>
      </c>
    </row>
    <row r="416" ht="79.5" customHeight="1" s="19">
      <c r="A416" s="24" t="n">
        <v>7489</v>
      </c>
      <c r="B416" s="25" t="inlineStr">
        <is>
          <t>Consultoría en Estrategia Web: Optimiza tu presencia online y alcanza tus objetivos</t>
        </is>
      </c>
      <c r="C416" s="24" t="inlineStr">
        <is>
          <t>Business Intelligence</t>
        </is>
      </c>
      <c r="D416" s="25" t="inlineStr">
        <is>
          <t>Consultoría en Estrategia Web: Impulsa tu presencia digital al siguiente nivel. Análisis exhaustivo, estrategia personalizada, SEO, marketing de contenidos, análisis de datos. Beneficios: mayor visibilidad, generación de clientes potenciales, mejor experiencia de usuario, posicionamiento competitivo, ROI comprobado.</t>
        </is>
      </c>
      <c r="E416" s="26" t="n">
        <v>4500</v>
      </c>
      <c r="F416" s="27">
        <f>E416/Config!$B$1</f>
        <v/>
      </c>
      <c r="G416" s="28" t="inlineStr">
        <is>
          <t>Estimado (mediana de categoría)</t>
        </is>
      </c>
    </row>
    <row r="417" ht="15" customHeight="1" s="19">
      <c r="A417" s="24" t="n">
        <v>5872</v>
      </c>
      <c r="B417" s="25" t="inlineStr">
        <is>
          <t>Consultoría en Estrategia y Transformación Digital</t>
        </is>
      </c>
      <c r="C417" s="24" t="inlineStr">
        <is>
          <t>Business Intelligence</t>
        </is>
      </c>
      <c r="D417" s="25" t="inlineStr">
        <is>
          <t>Estrategia Y Transformación Digital</t>
        </is>
      </c>
      <c r="E417" s="26" t="n">
        <v>7000</v>
      </c>
      <c r="F417" s="27">
        <f>E417/Config!$B$1</f>
        <v/>
      </c>
      <c r="G417" s="24" t="inlineStr">
        <is>
          <t>Real</t>
        </is>
      </c>
    </row>
    <row r="418" ht="23.25" customHeight="1" s="19">
      <c r="A418" s="24" t="n">
        <v>5876</v>
      </c>
      <c r="B418" s="25" t="inlineStr">
        <is>
          <t>Consultoría en Gestión de la Innovación y Desarrollo de Nuevos Productos/Servicios</t>
        </is>
      </c>
      <c r="C418" s="24" t="inlineStr">
        <is>
          <t>Business Intelligence</t>
        </is>
      </c>
      <c r="D418" s="25" t="inlineStr">
        <is>
          <t>Gestión De La Innovación.</t>
        </is>
      </c>
      <c r="E418" s="26" t="n">
        <v>7000</v>
      </c>
      <c r="F418" s="27">
        <f>E418/Config!$B$1</f>
        <v/>
      </c>
      <c r="G418" s="24" t="inlineStr">
        <is>
          <t>Real</t>
        </is>
      </c>
    </row>
    <row r="419" ht="23.25" customHeight="1" s="19">
      <c r="A419" s="24" t="n">
        <v>6011</v>
      </c>
      <c r="B419" s="25" t="inlineStr">
        <is>
          <t>Consultoría en Gobernanza de Datos y Gestión del Ciclo de Vida de la Información</t>
        </is>
      </c>
      <c r="C419" s="24" t="inlineStr">
        <is>
          <t>Business Intelligence</t>
        </is>
      </c>
      <c r="D419" s="25" t="inlineStr">
        <is>
          <t>Gobernanza De Datos</t>
        </is>
      </c>
      <c r="E419" s="26" t="n">
        <v>4500</v>
      </c>
      <c r="F419" s="27">
        <f>E419/Config!$B$1</f>
        <v/>
      </c>
      <c r="G419" s="28" t="inlineStr">
        <is>
          <t>Estimado (mediana de categoría)</t>
        </is>
      </c>
    </row>
    <row r="420" ht="23.25" customHeight="1" s="19">
      <c r="A420" s="24" t="n">
        <v>7774</v>
      </c>
      <c r="B420" s="25" t="inlineStr">
        <is>
          <t>Consultoría en Gobernanza de Datos y Gestión del Ciclo de Vida de la Información</t>
        </is>
      </c>
      <c r="C420" s="24" t="inlineStr">
        <is>
          <t>Business Intelligence</t>
        </is>
      </c>
      <c r="D420" s="25" t="inlineStr">
        <is>
          <t>Gobernanza De Datos</t>
        </is>
      </c>
      <c r="E420" s="26" t="n">
        <v>4500</v>
      </c>
      <c r="F420" s="27">
        <f>E420/Config!$B$1</f>
        <v/>
      </c>
      <c r="G420" s="28" t="inlineStr">
        <is>
          <t>Estimado (mediana de categoría)</t>
        </is>
      </c>
    </row>
    <row r="421" ht="23.25" customHeight="1" s="19">
      <c r="A421" s="24" t="n">
        <v>6039</v>
      </c>
      <c r="B421" s="25" t="inlineStr">
        <is>
          <t>Consultoría en Gobierno de Datos y Gestión de Información</t>
        </is>
      </c>
      <c r="C421" s="24" t="inlineStr">
        <is>
          <t>Business Intelligence</t>
        </is>
      </c>
      <c r="D421" s="25" t="inlineStr">
        <is>
          <t>Gestión De Datos E Información</t>
        </is>
      </c>
      <c r="E421" s="26" t="n">
        <v>9500</v>
      </c>
      <c r="F421" s="27">
        <f>E421/Config!$B$1</f>
        <v/>
      </c>
      <c r="G421" s="24" t="inlineStr">
        <is>
          <t>Real</t>
        </is>
      </c>
    </row>
    <row r="422" ht="23.25" customHeight="1" s="19">
      <c r="A422" s="24" t="n">
        <v>7785</v>
      </c>
      <c r="B422" s="25" t="inlineStr">
        <is>
          <t>Consultoría en Gobierno de Datos y Gestión de Información</t>
        </is>
      </c>
      <c r="C422" s="24" t="inlineStr">
        <is>
          <t>Business Intelligence</t>
        </is>
      </c>
      <c r="D422" s="25" t="inlineStr">
        <is>
          <t>Gestión De Datos E Información</t>
        </is>
      </c>
      <c r="E422" s="26" t="n">
        <v>4500</v>
      </c>
      <c r="F422" s="27">
        <f>E422/Config!$B$1</f>
        <v/>
      </c>
      <c r="G422" s="28" t="inlineStr">
        <is>
          <t>Estimado (mediana de categoría)</t>
        </is>
      </c>
    </row>
    <row r="423" ht="23.25" customHeight="1" s="19">
      <c r="A423" s="24" t="n">
        <v>5869</v>
      </c>
      <c r="B423" s="25" t="inlineStr">
        <is>
          <t>Consultoría en Gobierno de Datos y Gestión de la Información</t>
        </is>
      </c>
      <c r="C423" s="24" t="inlineStr">
        <is>
          <t>Business Intelligence</t>
        </is>
      </c>
      <c r="D423" s="25" t="inlineStr">
        <is>
          <t>Gobierno De Datos.</t>
        </is>
      </c>
      <c r="E423" s="26" t="n">
        <v>6000</v>
      </c>
      <c r="F423" s="27">
        <f>E423/Config!$B$1</f>
        <v/>
      </c>
      <c r="G423" s="24" t="inlineStr">
        <is>
          <t>Real</t>
        </is>
      </c>
    </row>
    <row r="424" ht="23.25" customHeight="1" s="19">
      <c r="A424" s="24" t="n">
        <v>7651</v>
      </c>
      <c r="B424" s="25" t="inlineStr">
        <is>
          <t>Consultoría en Gobierno de Datos y Gestión de la Información</t>
        </is>
      </c>
      <c r="C424" s="24" t="inlineStr">
        <is>
          <t>Business Intelligence</t>
        </is>
      </c>
      <c r="D424" s="25" t="inlineStr">
        <is>
          <t>Gobierno De Datos.</t>
        </is>
      </c>
      <c r="E424" s="26" t="n">
        <v>4500</v>
      </c>
      <c r="F424" s="27">
        <f>E424/Config!$B$1</f>
        <v/>
      </c>
      <c r="G424" s="28" t="inlineStr">
        <is>
          <t>Estimado (mediana de categoría)</t>
        </is>
      </c>
    </row>
    <row r="425" ht="23.25" customHeight="1" s="19">
      <c r="A425" s="24" t="n">
        <v>5948</v>
      </c>
      <c r="B425" s="25" t="inlineStr">
        <is>
          <t>Consultoría en Gobierno de Datos y Gestión del Ciclo de Vida de la Información</t>
        </is>
      </c>
      <c r="C425" s="24" t="inlineStr">
        <is>
          <t>Business Intelligence</t>
        </is>
      </c>
      <c r="D425" s="25" t="n"/>
      <c r="E425" s="26" t="n">
        <v>4500</v>
      </c>
      <c r="F425" s="27">
        <f>E425/Config!$B$1</f>
        <v/>
      </c>
      <c r="G425" s="28" t="inlineStr">
        <is>
          <t>Estimado (mediana de categoría)</t>
        </is>
      </c>
    </row>
    <row r="426" ht="34.5" customHeight="1" s="19">
      <c r="A426" s="24" t="n">
        <v>7730</v>
      </c>
      <c r="B426" s="25" t="inlineStr">
        <is>
          <t>Consultoría en Gobierno de Datos y Gestión del Ciclo de Vida de la Información: Optimiza tus datos para el éxito</t>
        </is>
      </c>
      <c r="C426" s="24" t="inlineStr">
        <is>
          <t>Business Intelligence</t>
        </is>
      </c>
      <c r="D426" s="25" t="inlineStr">
        <is>
          <t>Consultoría en Gobierno de Datos y Gestión del Ciclo de Vida de la Información: Optimiza tus datos para el éxito</t>
        </is>
      </c>
      <c r="E426" s="26" t="n">
        <v>4500</v>
      </c>
      <c r="F426" s="27">
        <f>E426/Config!$B$1</f>
        <v/>
      </c>
      <c r="G426" s="28" t="inlineStr">
        <is>
          <t>Estimado (mediana de categoría)</t>
        </is>
      </c>
    </row>
    <row r="427" ht="23.25" customHeight="1" s="19">
      <c r="A427" s="24" t="n">
        <v>5866</v>
      </c>
      <c r="B427" s="25" t="inlineStr">
        <is>
          <t>Consultoría en Inteligencia Artificial y Aprendizaje Automático</t>
        </is>
      </c>
      <c r="C427" s="24" t="inlineStr">
        <is>
          <t>Business Intelligence</t>
        </is>
      </c>
      <c r="D427" s="25" t="inlineStr">
        <is>
          <t>Consultoría En Ia Y Ml.</t>
        </is>
      </c>
      <c r="E427" s="26" t="n">
        <v>7500</v>
      </c>
      <c r="F427" s="27">
        <f>E427/Config!$B$1</f>
        <v/>
      </c>
      <c r="G427" s="24" t="inlineStr">
        <is>
          <t>Real</t>
        </is>
      </c>
    </row>
    <row r="428" ht="15" customHeight="1" s="19">
      <c r="A428" s="24" t="n">
        <v>7441</v>
      </c>
      <c r="B428" s="25" t="inlineStr">
        <is>
          <t>Consultoría en Inteligencia de Negocio</t>
        </is>
      </c>
      <c r="C428" s="24" t="inlineStr">
        <is>
          <t>Business Intelligence</t>
        </is>
      </c>
      <c r="D428" s="25" t="n"/>
      <c r="E428" s="26" t="n">
        <v>4500</v>
      </c>
      <c r="F428" s="27">
        <f>E428/Config!$B$1</f>
        <v/>
      </c>
      <c r="G428" s="28" t="inlineStr">
        <is>
          <t>Estimado (mediana de categoría)</t>
        </is>
      </c>
    </row>
    <row r="429" ht="15" customHeight="1" s="19">
      <c r="A429" s="24" t="n">
        <v>6749</v>
      </c>
      <c r="B429" s="25" t="inlineStr">
        <is>
          <t>Consultoría en Machine Learning</t>
        </is>
      </c>
      <c r="C429" s="24" t="inlineStr">
        <is>
          <t>Business Intelligence</t>
        </is>
      </c>
      <c r="D429" s="25" t="inlineStr">
        <is>
          <t>Consultoría En Machine Learning</t>
        </is>
      </c>
      <c r="E429" s="26" t="n">
        <v>2700</v>
      </c>
      <c r="F429" s="27">
        <f>E429/Config!$B$1</f>
        <v/>
      </c>
      <c r="G429" s="24" t="inlineStr">
        <is>
          <t>Real</t>
        </is>
      </c>
    </row>
    <row r="430" ht="23.25" customHeight="1" s="19">
      <c r="A430" s="24" t="n">
        <v>5945</v>
      </c>
      <c r="B430" s="25" t="inlineStr">
        <is>
          <t>Consultoría en Optimización de Procesos de Negocio (BPO)</t>
        </is>
      </c>
      <c r="C430" s="24" t="inlineStr">
        <is>
          <t>Business Intelligence</t>
        </is>
      </c>
      <c r="D430" s="25" t="inlineStr">
        <is>
          <t>Optimización De Procesos De Negocio</t>
        </is>
      </c>
      <c r="E430" s="26" t="n">
        <v>6500</v>
      </c>
      <c r="F430" s="27">
        <f>E430/Config!$B$1</f>
        <v/>
      </c>
      <c r="G430" s="24" t="inlineStr">
        <is>
          <t>Real</t>
        </is>
      </c>
    </row>
    <row r="431" ht="79.5" customHeight="1" s="19">
      <c r="A431" s="24" t="n">
        <v>7513</v>
      </c>
      <c r="B431" s="25" t="inlineStr">
        <is>
          <t>Consultoría en Optimización de Procesos: Mejora la Eficiencia y Rentabilidad de tu Negocio</t>
        </is>
      </c>
      <c r="C431" s="24" t="inlineStr">
        <is>
          <t>Business Intelligence</t>
        </is>
      </c>
      <c r="D431" s="25" t="inlineStr">
        <is>
          <t>Consultoría en Optimización de Procesos: Transformando operaciones para el éxito. Análisis exhaustivo, diseño optimizado, implementación y capacitación, monitoreo y mejora continua. Reduce costos, aumenta la productividad, mejora la calidad, aumenta la satisfacción del cliente y brinda una ventaja competitiva.</t>
        </is>
      </c>
      <c r="E431" s="26" t="n">
        <v>4500</v>
      </c>
      <c r="F431" s="27">
        <f>E431/Config!$B$1</f>
        <v/>
      </c>
      <c r="G431" s="28" t="inlineStr">
        <is>
          <t>Estimado (mediana de categoría)</t>
        </is>
      </c>
    </row>
    <row r="432" ht="15" customHeight="1" s="19">
      <c r="A432" s="24" t="n">
        <v>5864</v>
      </c>
      <c r="B432" s="25" t="inlineStr">
        <is>
          <t>Consultoría en Transformación Digital</t>
        </is>
      </c>
      <c r="C432" s="24" t="inlineStr">
        <is>
          <t>Business Intelligence</t>
        </is>
      </c>
      <c r="D432" s="25" t="inlineStr">
        <is>
          <t>Transformación Digital</t>
        </is>
      </c>
      <c r="E432" s="26" t="n">
        <v>5000</v>
      </c>
      <c r="F432" s="27">
        <f>E432/Config!$B$1</f>
        <v/>
      </c>
      <c r="G432" s="24" t="inlineStr">
        <is>
          <t>Real</t>
        </is>
      </c>
    </row>
    <row r="433" ht="23.25" customHeight="1" s="19">
      <c r="A433" s="24" t="n">
        <v>7551</v>
      </c>
      <c r="B433" s="25" t="inlineStr">
        <is>
          <t>Consultoría en Transformación Digital: Impulsa tu Negocio hacia el Éxito</t>
        </is>
      </c>
      <c r="C433" s="24" t="inlineStr">
        <is>
          <t>Business Intelligence</t>
        </is>
      </c>
      <c r="D433" s="25" t="inlineStr">
        <is>
          <t>Consultoría en Transformación Digital: Impulsando el crecimiento y la innovación en la era digital</t>
        </is>
      </c>
      <c r="E433" s="26" t="n">
        <v>1200</v>
      </c>
      <c r="F433" s="27">
        <f>E433/Config!$B$1</f>
        <v/>
      </c>
      <c r="G433" s="24" t="inlineStr">
        <is>
          <t>Real</t>
        </is>
      </c>
    </row>
    <row r="434" ht="23.25" customHeight="1" s="19">
      <c r="A434" s="24" t="n">
        <v>6037</v>
      </c>
      <c r="B434" s="25" t="inlineStr">
        <is>
          <t>Consultoría en Transformación Organizacional</t>
        </is>
      </c>
      <c r="C434" s="24" t="inlineStr">
        <is>
          <t>Business Intelligence</t>
        </is>
      </c>
      <c r="D434" s="25" t="inlineStr">
        <is>
          <t>Transformación Organizacional Y Habilidades Digitales</t>
        </is>
      </c>
      <c r="E434" s="26" t="n">
        <v>11000</v>
      </c>
      <c r="F434" s="27">
        <f>E434/Config!$B$1</f>
        <v/>
      </c>
      <c r="G434" s="24" t="inlineStr">
        <is>
          <t>Real</t>
        </is>
      </c>
    </row>
    <row r="435" ht="15" customHeight="1" s="19">
      <c r="A435" s="24" t="n">
        <v>7641</v>
      </c>
      <c r="B435" s="25" t="inlineStr">
        <is>
          <t>Consultoría en analítica avanzada</t>
        </is>
      </c>
      <c r="C435" s="24" t="inlineStr">
        <is>
          <t>Business Intelligence</t>
        </is>
      </c>
      <c r="D435" s="25" t="inlineStr">
        <is>
          <t>Consultoría En Analítica Avanzada</t>
        </is>
      </c>
      <c r="E435" s="26" t="n">
        <v>990</v>
      </c>
      <c r="F435" s="27">
        <f>E435/Config!$B$1</f>
        <v/>
      </c>
      <c r="G435" s="24" t="inlineStr">
        <is>
          <t>Real</t>
        </is>
      </c>
    </row>
    <row r="436" ht="15" customHeight="1" s="19">
      <c r="A436" s="24" t="n">
        <v>7607</v>
      </c>
      <c r="B436" s="25" t="inlineStr">
        <is>
          <t>Consultoría en desarrollo sostenible</t>
        </is>
      </c>
      <c r="C436" s="24" t="inlineStr">
        <is>
          <t>Business Intelligence</t>
        </is>
      </c>
      <c r="D436" s="25" t="inlineStr">
        <is>
          <t>Consultoría En Desarrollo Sostenible</t>
        </is>
      </c>
      <c r="E436" s="26" t="n">
        <v>720</v>
      </c>
      <c r="F436" s="27">
        <f>E436/Config!$B$1</f>
        <v/>
      </c>
      <c r="G436" s="24" t="inlineStr">
        <is>
          <t>Real</t>
        </is>
      </c>
    </row>
    <row r="437" ht="23.25" customHeight="1" s="19">
      <c r="A437" s="24" t="n">
        <v>6518</v>
      </c>
      <c r="B437" s="25" t="inlineStr">
        <is>
          <t>Consultoría en estrategia digital</t>
        </is>
      </c>
      <c r="C437" s="24" t="inlineStr">
        <is>
          <t>Business Intelligence</t>
        </is>
      </c>
      <c r="D437" s="25" t="inlineStr">
        <is>
          <t>Consultoría Especializada En Estrategia Y Transformación Digital Para Empresas.</t>
        </is>
      </c>
      <c r="E437" s="26" t="n">
        <v>3000</v>
      </c>
      <c r="F437" s="27">
        <f>E437/Config!$B$1</f>
        <v/>
      </c>
      <c r="G437" s="24" t="inlineStr">
        <is>
          <t>Real</t>
        </is>
      </c>
    </row>
    <row r="438" ht="23.25" customHeight="1" s="19">
      <c r="A438" s="24" t="n">
        <v>8220</v>
      </c>
      <c r="B438" s="25" t="inlineStr">
        <is>
          <t>Consultoría en estrategia digital</t>
        </is>
      </c>
      <c r="C438" s="24" t="inlineStr">
        <is>
          <t>Business Intelligence</t>
        </is>
      </c>
      <c r="D438" s="25" t="inlineStr">
        <is>
          <t>Consultoría Especializada En Estrategia Y Transformación Digital Para Empresas.</t>
        </is>
      </c>
      <c r="E438" s="26" t="n">
        <v>4500</v>
      </c>
      <c r="F438" s="27">
        <f>E438/Config!$B$1</f>
        <v/>
      </c>
      <c r="G438" s="28" t="inlineStr">
        <is>
          <t>Estimado (mediana de categoría)</t>
        </is>
      </c>
    </row>
    <row r="439" ht="15" customHeight="1" s="19">
      <c r="A439" s="24" t="n">
        <v>5970</v>
      </c>
      <c r="B439" s="25" t="inlineStr">
        <is>
          <t>Consultoría en estrategia y arquitectura empresarial</t>
        </is>
      </c>
      <c r="C439" s="24" t="inlineStr">
        <is>
          <t>Business Intelligence</t>
        </is>
      </c>
      <c r="D439" s="25" t="inlineStr">
        <is>
          <t>Consultoría En Estrategia Y Arquitectura Empresarial</t>
        </is>
      </c>
      <c r="E439" s="26" t="n">
        <v>9000</v>
      </c>
      <c r="F439" s="27">
        <f>E439/Config!$B$1</f>
        <v/>
      </c>
      <c r="G439" s="24" t="inlineStr">
        <is>
          <t>Real</t>
        </is>
      </c>
    </row>
    <row r="440" ht="23.25" customHeight="1" s="19">
      <c r="A440" s="24" t="n">
        <v>5990</v>
      </c>
      <c r="B440" s="25" t="inlineStr">
        <is>
          <t>Consultoría en estrategia y transformación digital para la adopción de tecnologías emergentes</t>
        </is>
      </c>
      <c r="C440" s="24" t="inlineStr">
        <is>
          <t>Business Intelligence</t>
        </is>
      </c>
      <c r="D440" s="25" t="inlineStr">
        <is>
          <t>Estrategia Y Transformación Digital</t>
        </is>
      </c>
      <c r="E440" s="26" t="n">
        <v>11700</v>
      </c>
      <c r="F440" s="27">
        <f>E440/Config!$B$1</f>
        <v/>
      </c>
      <c r="G440" s="24" t="inlineStr">
        <is>
          <t>Real</t>
        </is>
      </c>
    </row>
    <row r="441" ht="23.25" customHeight="1" s="19">
      <c r="A441" s="24" t="n">
        <v>6005</v>
      </c>
      <c r="B441" s="25" t="inlineStr">
        <is>
          <t>Consultoría en estrategia y transformación digital para la adopción de tecnologías innovadoras</t>
        </is>
      </c>
      <c r="C441" s="24" t="inlineStr">
        <is>
          <t>Business Intelligence</t>
        </is>
      </c>
      <c r="D441" s="25" t="inlineStr">
        <is>
          <t>Consultoría</t>
        </is>
      </c>
      <c r="E441" s="26" t="n">
        <v>18000</v>
      </c>
      <c r="F441" s="27">
        <f>E441/Config!$B$1</f>
        <v/>
      </c>
      <c r="G441" s="24" t="inlineStr">
        <is>
          <t>Real</t>
        </is>
      </c>
    </row>
    <row r="442" ht="15" customHeight="1" s="19">
      <c r="A442" s="24" t="n">
        <v>7603</v>
      </c>
      <c r="B442" s="25" t="inlineStr">
        <is>
          <t>Consultoría en estrategias de crecimiento</t>
        </is>
      </c>
      <c r="C442" s="24" t="inlineStr">
        <is>
          <t>Business Intelligence</t>
        </is>
      </c>
      <c r="D442" s="25" t="inlineStr">
        <is>
          <t>Consultoría En Estrategias De Crecimiento</t>
        </is>
      </c>
      <c r="E442" s="26" t="n">
        <v>540</v>
      </c>
      <c r="F442" s="27">
        <f>E442/Config!$B$1</f>
        <v/>
      </c>
      <c r="G442" s="24" t="inlineStr">
        <is>
          <t>Real</t>
        </is>
      </c>
    </row>
    <row r="443" ht="23.25" customHeight="1" s="19">
      <c r="A443" s="24" t="n">
        <v>6354</v>
      </c>
      <c r="B443" s="25" t="inlineStr">
        <is>
          <t>Consultoría en gestión de la innovación</t>
        </is>
      </c>
      <c r="C443" s="24" t="inlineStr">
        <is>
          <t>Business Intelligence</t>
        </is>
      </c>
      <c r="D443" s="25" t="inlineStr">
        <is>
          <t>Servicios De Consultoría Para Potenciar Las Capacidades De Innovación En Las Organizaciones.</t>
        </is>
      </c>
      <c r="E443" s="26" t="n">
        <v>10800</v>
      </c>
      <c r="F443" s="27">
        <f>E443/Config!$B$1</f>
        <v/>
      </c>
      <c r="G443" s="24" t="inlineStr">
        <is>
          <t>Real</t>
        </is>
      </c>
    </row>
    <row r="444" ht="23.25" customHeight="1" s="19">
      <c r="A444" s="24" t="n">
        <v>8065</v>
      </c>
      <c r="B444" s="25" t="inlineStr">
        <is>
          <t>Consultoría en gestión de la innovación</t>
        </is>
      </c>
      <c r="C444" s="24" t="inlineStr">
        <is>
          <t>Business Intelligence</t>
        </is>
      </c>
      <c r="D444" s="25" t="inlineStr">
        <is>
          <t>Servicios De Consultoría Para Potenciar Las Capacidades De Innovación En Las Organizaciones.</t>
        </is>
      </c>
      <c r="E444" s="26" t="n">
        <v>4500</v>
      </c>
      <c r="F444" s="27">
        <f>E444/Config!$B$1</f>
        <v/>
      </c>
      <c r="G444" s="28" t="inlineStr">
        <is>
          <t>Estimado (mediana de categoría)</t>
        </is>
      </c>
    </row>
    <row r="445" ht="23.25" customHeight="1" s="19">
      <c r="A445" s="24" t="n">
        <v>6348</v>
      </c>
      <c r="B445" s="25" t="inlineStr">
        <is>
          <t>Consultoría en gestión de procesos</t>
        </is>
      </c>
      <c r="C445" s="24" t="inlineStr">
        <is>
          <t>Business Intelligence</t>
        </is>
      </c>
      <c r="D445" s="25" t="inlineStr">
        <is>
          <t>Servicios De Consultoría En Gestión, Eficiencia Y Optimización De Procesos Empresariales.</t>
        </is>
      </c>
      <c r="E445" s="26" t="n">
        <v>9000</v>
      </c>
      <c r="F445" s="27">
        <f>E445/Config!$B$1</f>
        <v/>
      </c>
      <c r="G445" s="24" t="inlineStr">
        <is>
          <t>Real</t>
        </is>
      </c>
    </row>
    <row r="446" ht="23.25" customHeight="1" s="19">
      <c r="A446" s="24" t="n">
        <v>8059</v>
      </c>
      <c r="B446" s="25" t="inlineStr">
        <is>
          <t>Consultoría en gestión de procesos</t>
        </is>
      </c>
      <c r="C446" s="24" t="inlineStr">
        <is>
          <t>Business Intelligence</t>
        </is>
      </c>
      <c r="D446" s="25" t="inlineStr">
        <is>
          <t>Servicios De Consultoría En Gestión, Eficiencia Y Optimización De Procesos Empresariales.</t>
        </is>
      </c>
      <c r="E446" s="26" t="n">
        <v>4500</v>
      </c>
      <c r="F446" s="27">
        <f>E446/Config!$B$1</f>
        <v/>
      </c>
      <c r="G446" s="28" t="inlineStr">
        <is>
          <t>Estimado (mediana de categoría)</t>
        </is>
      </c>
    </row>
    <row r="447" ht="15" customHeight="1" s="19">
      <c r="A447" s="24" t="n">
        <v>7610</v>
      </c>
      <c r="B447" s="25" t="inlineStr">
        <is>
          <t>Consultoría en gestión de riesgos</t>
        </is>
      </c>
      <c r="C447" s="24" t="inlineStr">
        <is>
          <t>Business Intelligence</t>
        </is>
      </c>
      <c r="D447" s="25" t="inlineStr">
        <is>
          <t>Consultoría En Gestión De Riesgos</t>
        </is>
      </c>
      <c r="E447" s="26" t="n">
        <v>810</v>
      </c>
      <c r="F447" s="27">
        <f>E447/Config!$B$1</f>
        <v/>
      </c>
      <c r="G447" s="24" t="inlineStr">
        <is>
          <t>Real</t>
        </is>
      </c>
    </row>
    <row r="448" ht="15" customHeight="1" s="19">
      <c r="A448" s="24" t="n">
        <v>7597</v>
      </c>
      <c r="B448" s="25" t="inlineStr">
        <is>
          <t>Consultoría en gestión del cambio</t>
        </is>
      </c>
      <c r="C448" s="24" t="inlineStr">
        <is>
          <t>Business Intelligence</t>
        </is>
      </c>
      <c r="D448" s="25" t="inlineStr">
        <is>
          <t>Consultoría En Gestión Del Cambio</t>
        </is>
      </c>
      <c r="E448" s="26" t="n">
        <v>720</v>
      </c>
      <c r="F448" s="27">
        <f>E448/Config!$B$1</f>
        <v/>
      </c>
      <c r="G448" s="24" t="inlineStr">
        <is>
          <t>Real</t>
        </is>
      </c>
    </row>
    <row r="449" ht="23.25" customHeight="1" s="19">
      <c r="A449" s="24" t="n">
        <v>5982</v>
      </c>
      <c r="B449" s="25" t="inlineStr">
        <is>
          <t>Consultoría en gobernanza de datos y gestión del ciclo de vida de la información a nivel empresarial</t>
        </is>
      </c>
      <c r="C449" s="24" t="inlineStr">
        <is>
          <t>Business Intelligence</t>
        </is>
      </c>
      <c r="D449" s="25" t="inlineStr">
        <is>
          <t>Gobernanza De Datos Empresarial</t>
        </is>
      </c>
      <c r="E449" s="26" t="n">
        <v>9000</v>
      </c>
      <c r="F449" s="27">
        <f>E449/Config!$B$1</f>
        <v/>
      </c>
      <c r="G449" s="24" t="inlineStr">
        <is>
          <t>Real</t>
        </is>
      </c>
    </row>
    <row r="450" ht="23.25" customHeight="1" s="19">
      <c r="A450" s="24" t="n">
        <v>7745</v>
      </c>
      <c r="B450" s="25" t="inlineStr">
        <is>
          <t>Consultoría en gobernanza de datos y gestión del ciclo de vida de la información a nivel empresarial</t>
        </is>
      </c>
      <c r="C450" s="24" t="inlineStr">
        <is>
          <t>Business Intelligence</t>
        </is>
      </c>
      <c r="D450" s="25" t="inlineStr">
        <is>
          <t>Gobernanza De Datos Empresarial</t>
        </is>
      </c>
      <c r="E450" s="26" t="n">
        <v>4500</v>
      </c>
      <c r="F450" s="27">
        <f>E450/Config!$B$1</f>
        <v/>
      </c>
      <c r="G450" s="28" t="inlineStr">
        <is>
          <t>Estimado (mediana de categoría)</t>
        </is>
      </c>
    </row>
    <row r="451" ht="23.25" customHeight="1" s="19">
      <c r="A451" s="24" t="n">
        <v>6002</v>
      </c>
      <c r="B451" s="25" t="inlineStr">
        <is>
          <t>Consultoría en gobierno de datos y gestión del ciclo de vida de la información a nivel empresarial</t>
        </is>
      </c>
      <c r="C451" s="24" t="inlineStr">
        <is>
          <t>Business Intelligence</t>
        </is>
      </c>
      <c r="D451" s="25" t="inlineStr">
        <is>
          <t>Consultoría</t>
        </is>
      </c>
      <c r="E451" s="26" t="n">
        <v>12600</v>
      </c>
      <c r="F451" s="27">
        <f>E451/Config!$B$1</f>
        <v/>
      </c>
      <c r="G451" s="24" t="inlineStr">
        <is>
          <t>Real</t>
        </is>
      </c>
    </row>
    <row r="452" ht="23.25" customHeight="1" s="19">
      <c r="A452" s="24" t="n">
        <v>7765</v>
      </c>
      <c r="B452" s="25" t="inlineStr">
        <is>
          <t>Consultoría en gobierno de datos y gestión del ciclo de vida de la información a nivel empresarial</t>
        </is>
      </c>
      <c r="C452" s="24" t="inlineStr">
        <is>
          <t>Business Intelligence</t>
        </is>
      </c>
      <c r="D452" s="25" t="inlineStr">
        <is>
          <t>Consultoría</t>
        </is>
      </c>
      <c r="E452" s="26" t="n">
        <v>4500</v>
      </c>
      <c r="F452" s="27">
        <f>E452/Config!$B$1</f>
        <v/>
      </c>
      <c r="G452" s="28" t="inlineStr">
        <is>
          <t>Estimado (mediana de categoría)</t>
        </is>
      </c>
    </row>
    <row r="453" ht="23.25" customHeight="1" s="19">
      <c r="A453" s="24" t="n">
        <v>6342</v>
      </c>
      <c r="B453" s="25" t="inlineStr">
        <is>
          <t>Consultoría en innovación</t>
        </is>
      </c>
      <c r="C453" s="24" t="inlineStr">
        <is>
          <t>Business Intelligence</t>
        </is>
      </c>
      <c r="D453" s="25" t="inlineStr">
        <is>
          <t>Servicios De Consultoría Para Impulsar La Innovación En Las Organizaciones.</t>
        </is>
      </c>
      <c r="E453" s="26" t="n">
        <v>10800</v>
      </c>
      <c r="F453" s="27">
        <f>E453/Config!$B$1</f>
        <v/>
      </c>
      <c r="G453" s="24" t="inlineStr">
        <is>
          <t>Real</t>
        </is>
      </c>
    </row>
    <row r="454" ht="23.25" customHeight="1" s="19">
      <c r="A454" s="24" t="n">
        <v>8053</v>
      </c>
      <c r="B454" s="25" t="inlineStr">
        <is>
          <t>Consultoría en innovación</t>
        </is>
      </c>
      <c r="C454" s="24" t="inlineStr">
        <is>
          <t>Business Intelligence</t>
        </is>
      </c>
      <c r="D454" s="25" t="inlineStr">
        <is>
          <t>Servicios De Consultoría Para Impulsar La Innovación En Las Organizaciones.</t>
        </is>
      </c>
      <c r="E454" s="26" t="n">
        <v>4500</v>
      </c>
      <c r="F454" s="27">
        <f>E454/Config!$B$1</f>
        <v/>
      </c>
      <c r="G454" s="28" t="inlineStr">
        <is>
          <t>Estimado (mediana de categoría)</t>
        </is>
      </c>
    </row>
    <row r="455" ht="23.25" customHeight="1" s="19">
      <c r="A455" s="24" t="n">
        <v>5985</v>
      </c>
      <c r="B455" s="25" t="inlineStr">
        <is>
          <t>Consultoría en innovación y desarrollo de nuevos modelos de negocio digitales</t>
        </is>
      </c>
      <c r="C455" s="24" t="inlineStr">
        <is>
          <t>Business Intelligence</t>
        </is>
      </c>
      <c r="D455" s="25" t="inlineStr">
        <is>
          <t>Innovación Y Modelos De Negocio Digitales</t>
        </is>
      </c>
      <c r="E455" s="26" t="n">
        <v>14400</v>
      </c>
      <c r="F455" s="27">
        <f>E455/Config!$B$1</f>
        <v/>
      </c>
      <c r="G455" s="24" t="inlineStr">
        <is>
          <t>Real</t>
        </is>
      </c>
    </row>
    <row r="456" ht="15" customHeight="1" s="19">
      <c r="A456" s="24" t="n">
        <v>5916</v>
      </c>
      <c r="B456" s="25" t="inlineStr">
        <is>
          <t>Consultoría en inteligencia artificial</t>
        </is>
      </c>
      <c r="C456" s="24" t="inlineStr">
        <is>
          <t>Business Intelligence</t>
        </is>
      </c>
      <c r="D456" s="25" t="inlineStr">
        <is>
          <t>Ia Y Aprendizaje Automático</t>
        </is>
      </c>
      <c r="E456" s="26" t="n">
        <v>5000</v>
      </c>
      <c r="F456" s="27">
        <f>E456/Config!$B$1</f>
        <v/>
      </c>
      <c r="G456" s="24" t="inlineStr">
        <is>
          <t>Real</t>
        </is>
      </c>
    </row>
    <row r="457" ht="15" customHeight="1" s="19">
      <c r="A457" s="24" t="n">
        <v>7638</v>
      </c>
      <c r="B457" s="25" t="inlineStr">
        <is>
          <t>Consultoría en inteligencia competitiva</t>
        </is>
      </c>
      <c r="C457" s="24" t="inlineStr">
        <is>
          <t>Business Intelligence</t>
        </is>
      </c>
      <c r="D457" s="25" t="inlineStr">
        <is>
          <t>Consultoría En Inteligencia Competitiva</t>
        </is>
      </c>
      <c r="E457" s="26" t="n">
        <v>900</v>
      </c>
      <c r="F457" s="27">
        <f>E457/Config!$B$1</f>
        <v/>
      </c>
      <c r="G457" s="24" t="inlineStr">
        <is>
          <t>Real</t>
        </is>
      </c>
    </row>
    <row r="458" ht="23.25" customHeight="1" s="19">
      <c r="A458" s="24" t="n">
        <v>6350</v>
      </c>
      <c r="B458" s="25" t="inlineStr">
        <is>
          <t>Consultoría en planificación estratégica</t>
        </is>
      </c>
      <c r="C458" s="24" t="inlineStr">
        <is>
          <t>Business Intelligence</t>
        </is>
      </c>
      <c r="D458" s="25" t="inlineStr">
        <is>
          <t>Servicios De Consultoría Para El Diseño E Implementación De Estrategias Empresariales.</t>
        </is>
      </c>
      <c r="E458" s="26" t="n">
        <v>10800</v>
      </c>
      <c r="F458" s="27">
        <f>E458/Config!$B$1</f>
        <v/>
      </c>
      <c r="G458" s="24" t="inlineStr">
        <is>
          <t>Real</t>
        </is>
      </c>
    </row>
    <row r="459" ht="23.25" customHeight="1" s="19">
      <c r="A459" s="24" t="n">
        <v>8061</v>
      </c>
      <c r="B459" s="25" t="inlineStr">
        <is>
          <t>Consultoría en planificación estratégica</t>
        </is>
      </c>
      <c r="C459" s="24" t="inlineStr">
        <is>
          <t>Business Intelligence</t>
        </is>
      </c>
      <c r="D459" s="25" t="inlineStr">
        <is>
          <t>Servicios De Consultoría Para El Diseño E Implementación De Estrategias Empresariales.</t>
        </is>
      </c>
      <c r="E459" s="26" t="n">
        <v>4500</v>
      </c>
      <c r="F459" s="27">
        <f>E459/Config!$B$1</f>
        <v/>
      </c>
      <c r="G459" s="28" t="inlineStr">
        <is>
          <t>Estimado (mediana de categoría)</t>
        </is>
      </c>
    </row>
    <row r="460" ht="15" customHeight="1" s="19">
      <c r="A460" s="24" t="n">
        <v>7599</v>
      </c>
      <c r="B460" s="25" t="inlineStr">
        <is>
          <t>Consultoría en sostenibilidad</t>
        </is>
      </c>
      <c r="C460" s="24" t="inlineStr">
        <is>
          <t>Business Intelligence</t>
        </is>
      </c>
      <c r="D460" s="25" t="inlineStr">
        <is>
          <t>Consultoría En Sostenibilidad</t>
        </is>
      </c>
      <c r="E460" s="26" t="n">
        <v>630</v>
      </c>
      <c r="F460" s="27">
        <f>E460/Config!$B$1</f>
        <v/>
      </c>
      <c r="G460" s="24" t="inlineStr">
        <is>
          <t>Real</t>
        </is>
      </c>
    </row>
    <row r="461" ht="15" customHeight="1" s="19">
      <c r="A461" s="24" t="n">
        <v>7595</v>
      </c>
      <c r="B461" s="25" t="inlineStr">
        <is>
          <t>Consultoría en transformación digital para pymes</t>
        </is>
      </c>
      <c r="C461" s="24" t="inlineStr">
        <is>
          <t>Business Intelligence</t>
        </is>
      </c>
      <c r="D461" s="25" t="inlineStr">
        <is>
          <t>Consultoría En Transformación Digital Para Pymes</t>
        </is>
      </c>
      <c r="E461" s="26" t="n">
        <v>540</v>
      </c>
      <c r="F461" s="27">
        <f>E461/Config!$B$1</f>
        <v/>
      </c>
      <c r="G461" s="24" t="inlineStr">
        <is>
          <t>Real</t>
        </is>
      </c>
    </row>
    <row r="462" ht="23.25" customHeight="1" s="19">
      <c r="A462" s="24" t="n">
        <v>5973</v>
      </c>
      <c r="B462" s="25" t="inlineStr">
        <is>
          <t>Consultoría en transformación digital y adopción de nuevas tecnologías</t>
        </is>
      </c>
      <c r="C462" s="24" t="inlineStr">
        <is>
          <t>Business Intelligence</t>
        </is>
      </c>
      <c r="D462" s="25" t="inlineStr">
        <is>
          <t>Transformación Digital Y Adopción Tecnológica</t>
        </is>
      </c>
      <c r="E462" s="26" t="n">
        <v>12600</v>
      </c>
      <c r="F462" s="27">
        <f>E462/Config!$B$1</f>
        <v/>
      </c>
      <c r="G462" s="24" t="inlineStr">
        <is>
          <t>Real</t>
        </is>
      </c>
    </row>
    <row r="463" ht="23.25" customHeight="1" s="19">
      <c r="A463" s="24" t="n">
        <v>5979</v>
      </c>
      <c r="B463" s="25" t="inlineStr">
        <is>
          <t>Consultoría en transformación organizacional y desarrollo de capacidades digitales</t>
        </is>
      </c>
      <c r="C463" s="24" t="inlineStr">
        <is>
          <t>Business Intelligence</t>
        </is>
      </c>
      <c r="D463" s="25" t="inlineStr">
        <is>
          <t>Transformación Organizacional Y Capacidades Digitales</t>
        </is>
      </c>
      <c r="E463" s="26" t="n">
        <v>13500</v>
      </c>
      <c r="F463" s="27">
        <f>E463/Config!$B$1</f>
        <v/>
      </c>
      <c r="G463" s="24" t="inlineStr">
        <is>
          <t>Real</t>
        </is>
      </c>
    </row>
    <row r="464" ht="23.25" customHeight="1" s="19">
      <c r="A464" s="24" t="n">
        <v>7532</v>
      </c>
      <c r="B464" s="25" t="inlineStr">
        <is>
          <t>Consultoría para Mejora Continua: Optimiza tus Procesos y Alcanza la Excelencia Operativa</t>
        </is>
      </c>
      <c r="C464" s="24" t="inlineStr">
        <is>
          <t>Business Intelligence</t>
        </is>
      </c>
      <c r="D464" s="25" t="inlineStr">
        <is>
          <t>Consultoría para Mejora Continua: Optimizando operaciones para la excelencia.</t>
        </is>
      </c>
      <c r="E464" s="26" t="n">
        <v>700</v>
      </c>
      <c r="F464" s="27">
        <f>E464/Config!$B$1</f>
        <v/>
      </c>
      <c r="G464" s="24" t="inlineStr">
        <is>
          <t>Real</t>
        </is>
      </c>
    </row>
    <row r="465" ht="15" customHeight="1" s="19">
      <c r="A465" s="24" t="n">
        <v>6740</v>
      </c>
      <c r="B465" s="25" t="inlineStr">
        <is>
          <t>Consultoría y Estrategia Digital</t>
        </is>
      </c>
      <c r="C465" s="24" t="inlineStr">
        <is>
          <t>Business Intelligence</t>
        </is>
      </c>
      <c r="D465" s="25" t="n"/>
      <c r="E465" s="26" t="n">
        <v>12</v>
      </c>
      <c r="F465" s="27">
        <f>E465/Config!$B$1</f>
        <v/>
      </c>
      <c r="G465" s="24" t="inlineStr">
        <is>
          <t>Real</t>
        </is>
      </c>
    </row>
    <row r="466" ht="15" customHeight="1" s="19">
      <c r="A466" s="24" t="n">
        <v>6727</v>
      </c>
      <c r="B466" s="25" t="inlineStr">
        <is>
          <t>Dashboards Personalizados</t>
        </is>
      </c>
      <c r="C466" s="24" t="inlineStr">
        <is>
          <t>Business Intelligence</t>
        </is>
      </c>
      <c r="D466" s="25" t="inlineStr">
        <is>
          <t>Dashboards Personalizados.</t>
        </is>
      </c>
      <c r="E466" s="26" t="n">
        <v>1700</v>
      </c>
      <c r="F466" s="27">
        <f>E466/Config!$B$1</f>
        <v/>
      </c>
      <c r="G466" s="24" t="inlineStr">
        <is>
          <t>Real</t>
        </is>
      </c>
    </row>
    <row r="467" ht="15" customHeight="1" s="19">
      <c r="A467" s="24" t="n">
        <v>7444</v>
      </c>
      <c r="B467" s="25" t="inlineStr">
        <is>
          <t>Dashboards Personalizados</t>
        </is>
      </c>
      <c r="C467" s="24" t="inlineStr">
        <is>
          <t>Business Intelligence</t>
        </is>
      </c>
      <c r="D467" s="25" t="n"/>
      <c r="E467" s="26" t="n">
        <v>4500</v>
      </c>
      <c r="F467" s="27">
        <f>E467/Config!$B$1</f>
        <v/>
      </c>
      <c r="G467" s="28" t="inlineStr">
        <is>
          <t>Estimado (mediana de categoría)</t>
        </is>
      </c>
    </row>
    <row r="468" ht="15" customHeight="1" s="19">
      <c r="A468" s="24" t="n">
        <v>6805</v>
      </c>
      <c r="B468" s="25" t="inlineStr">
        <is>
          <t>Desarrollo de Algoritmos Avanzados</t>
        </is>
      </c>
      <c r="C468" s="24" t="inlineStr">
        <is>
          <t>Business Intelligence</t>
        </is>
      </c>
      <c r="D468" s="25" t="inlineStr">
        <is>
          <t>Algoritmos Para Marketing Digital.</t>
        </is>
      </c>
      <c r="E468" s="26" t="n">
        <v>1800</v>
      </c>
      <c r="F468" s="27">
        <f>E468/Config!$B$1</f>
        <v/>
      </c>
      <c r="G468" s="24" t="inlineStr">
        <is>
          <t>Real</t>
        </is>
      </c>
    </row>
    <row r="469" ht="15" customHeight="1" s="19">
      <c r="A469" s="24" t="n">
        <v>6940</v>
      </c>
      <c r="B469" s="25" t="inlineStr">
        <is>
          <t>Desarrollo de Herramientas de Reporting</t>
        </is>
      </c>
      <c r="C469" s="24" t="inlineStr">
        <is>
          <t>Business Intelligence</t>
        </is>
      </c>
      <c r="D469" s="25" t="inlineStr">
        <is>
          <t>Herramientas De Reporting</t>
        </is>
      </c>
      <c r="E469" s="26" t="n">
        <v>5700</v>
      </c>
      <c r="F469" s="27">
        <f>E469/Config!$B$1</f>
        <v/>
      </c>
      <c r="G469" s="24" t="inlineStr">
        <is>
          <t>Real</t>
        </is>
      </c>
    </row>
    <row r="470" ht="15" customHeight="1" s="19">
      <c r="A470" s="24" t="n">
        <v>6944</v>
      </c>
      <c r="B470" s="25" t="inlineStr">
        <is>
          <t>Desarrollo de Herramientas de Visualización de Datos</t>
        </is>
      </c>
      <c r="C470" s="24" t="inlineStr">
        <is>
          <t>Business Intelligence</t>
        </is>
      </c>
      <c r="D470" s="25" t="inlineStr">
        <is>
          <t>Herramientas De Visualización</t>
        </is>
      </c>
      <c r="E470" s="26" t="n">
        <v>5800</v>
      </c>
      <c r="F470" s="27">
        <f>E470/Config!$B$1</f>
        <v/>
      </c>
      <c r="G470" s="24" t="inlineStr">
        <is>
          <t>Real</t>
        </is>
      </c>
    </row>
    <row r="471" ht="34.5" customHeight="1" s="19">
      <c r="A471" s="24" t="n">
        <v>7525</v>
      </c>
      <c r="B471" s="25" t="inlineStr">
        <is>
          <t>Desarrollo de Informes Personalizados: Crea Reportes a Medida para tus Necesidades</t>
        </is>
      </c>
      <c r="C471" s="24" t="inlineStr">
        <is>
          <t>Business Intelligence</t>
        </is>
      </c>
      <c r="D471" s="25" t="inlineStr">
        <is>
          <t>Desarrollo de Informes Personalizados: Herramienta para la toma de decisiones informada, con informes adaptados, automatizados, integrados y visuales.</t>
        </is>
      </c>
      <c r="E471" s="26" t="n">
        <v>600</v>
      </c>
      <c r="F471" s="27">
        <f>E471/Config!$B$1</f>
        <v/>
      </c>
      <c r="G471" s="24" t="inlineStr">
        <is>
          <t>Real</t>
        </is>
      </c>
    </row>
    <row r="472" ht="15" customHeight="1" s="19">
      <c r="A472" s="24" t="n">
        <v>6943</v>
      </c>
      <c r="B472" s="25" t="inlineStr">
        <is>
          <t>Desarrollo de Soluciones de BI para KPIs</t>
        </is>
      </c>
      <c r="C472" s="24" t="inlineStr">
        <is>
          <t>Business Intelligence</t>
        </is>
      </c>
      <c r="D472" s="25" t="inlineStr">
        <is>
          <t>Soluciones Bi Para Kpis</t>
        </is>
      </c>
      <c r="E472" s="26" t="n">
        <v>5300</v>
      </c>
      <c r="F472" s="27">
        <f>E472/Config!$B$1</f>
        <v/>
      </c>
      <c r="G472" s="24" t="inlineStr">
        <is>
          <t>Real</t>
        </is>
      </c>
    </row>
    <row r="473" ht="15" customHeight="1" s="19">
      <c r="A473" s="24" t="n">
        <v>6946</v>
      </c>
      <c r="B473" s="25" t="inlineStr">
        <is>
          <t>Desarrollo de Soluciones de Visualización Avanzada</t>
        </is>
      </c>
      <c r="C473" s="24" t="inlineStr">
        <is>
          <t>Business Intelligence</t>
        </is>
      </c>
      <c r="D473" s="25" t="inlineStr">
        <is>
          <t>Visualización Avanzada</t>
        </is>
      </c>
      <c r="E473" s="26" t="n">
        <v>6300</v>
      </c>
      <c r="F473" s="27">
        <f>E473/Config!$B$1</f>
        <v/>
      </c>
      <c r="G473" s="24" t="inlineStr">
        <is>
          <t>Real</t>
        </is>
      </c>
    </row>
    <row r="474" ht="15" customHeight="1" s="19">
      <c r="A474" s="24" t="n">
        <v>6952</v>
      </c>
      <c r="B474" s="25" t="inlineStr">
        <is>
          <t>Desarrollo de Soluciones de Visualización de Datos</t>
        </is>
      </c>
      <c r="C474" s="24" t="inlineStr">
        <is>
          <t>Business Intelligence</t>
        </is>
      </c>
      <c r="D474" s="25" t="inlineStr">
        <is>
          <t>Visualización De Datos</t>
        </is>
      </c>
      <c r="E474" s="26" t="n">
        <v>5300</v>
      </c>
      <c r="F474" s="27">
        <f>E474/Config!$B$1</f>
        <v/>
      </c>
      <c r="G474" s="24" t="inlineStr">
        <is>
          <t>Real</t>
        </is>
      </c>
    </row>
    <row r="475" ht="23.25" customHeight="1" s="19">
      <c r="A475" s="24" t="n">
        <v>6360</v>
      </c>
      <c r="B475" s="25" t="inlineStr">
        <is>
          <t>Desarrollo de soluciones de analítica avanzada</t>
        </is>
      </c>
      <c r="C475" s="24" t="inlineStr">
        <is>
          <t>Business Intelligence</t>
        </is>
      </c>
      <c r="D475" s="25" t="inlineStr">
        <is>
          <t>Servicios De Creación De Aplicaciones Y Sistemas De Analítica Avanzada Para La Toma De Decisiones.</t>
        </is>
      </c>
      <c r="E475" s="26" t="n">
        <v>22500</v>
      </c>
      <c r="F475" s="27">
        <f>E475/Config!$B$1</f>
        <v/>
      </c>
      <c r="G475" s="24" t="inlineStr">
        <is>
          <t>Real</t>
        </is>
      </c>
    </row>
    <row r="476" ht="23.25" customHeight="1" s="19">
      <c r="A476" s="24" t="n">
        <v>8071</v>
      </c>
      <c r="B476" s="25" t="inlineStr">
        <is>
          <t>Desarrollo de soluciones de analítica avanzada</t>
        </is>
      </c>
      <c r="C476" s="24" t="inlineStr">
        <is>
          <t>Business Intelligence</t>
        </is>
      </c>
      <c r="D476" s="25" t="inlineStr">
        <is>
          <t>Servicios De Creación De Aplicaciones Y Sistemas De Analítica Avanzada Para La Toma De Decisiones.</t>
        </is>
      </c>
      <c r="E476" s="26" t="n">
        <v>4500</v>
      </c>
      <c r="F476" s="27">
        <f>E476/Config!$B$1</f>
        <v/>
      </c>
      <c r="G476" s="28" t="inlineStr">
        <is>
          <t>Estimado (mediana de categoría)</t>
        </is>
      </c>
    </row>
    <row r="477" ht="23.25" customHeight="1" s="19">
      <c r="A477" s="24" t="n">
        <v>6379</v>
      </c>
      <c r="B477" s="25" t="inlineStr">
        <is>
          <t>Desarrollo de soluciones de aprendizaje automático (machine learning)</t>
        </is>
      </c>
      <c r="C477" s="24" t="inlineStr">
        <is>
          <t>Business Intelligence</t>
        </is>
      </c>
      <c r="D477" s="25" t="inlineStr">
        <is>
          <t>Servicios De Desarrollo De Soluciones De Machine Learning Para Resolver Problemas Empresariales.</t>
        </is>
      </c>
      <c r="E477" s="26" t="n">
        <v>22500</v>
      </c>
      <c r="F477" s="27">
        <f>E477/Config!$B$1</f>
        <v/>
      </c>
      <c r="G477" s="24" t="inlineStr">
        <is>
          <t>Real</t>
        </is>
      </c>
    </row>
    <row r="478" ht="23.25" customHeight="1" s="19">
      <c r="A478" s="24" t="n">
        <v>6371</v>
      </c>
      <c r="B478" s="25" t="inlineStr">
        <is>
          <t>Desarrollo de soluciones de business intelligence</t>
        </is>
      </c>
      <c r="C478" s="24" t="inlineStr">
        <is>
          <t>Business Intelligence</t>
        </is>
      </c>
      <c r="D478" s="25" t="inlineStr">
        <is>
          <t>Servicios De Creación De Soluciones De Bi Para El Análisis, Visualización Y Monitoreo De Datos.</t>
        </is>
      </c>
      <c r="E478" s="26" t="n">
        <v>19800</v>
      </c>
      <c r="F478" s="27">
        <f>E478/Config!$B$1</f>
        <v/>
      </c>
      <c r="G478" s="24" t="inlineStr">
        <is>
          <t>Real</t>
        </is>
      </c>
    </row>
    <row r="479" ht="23.25" customHeight="1" s="19">
      <c r="A479" s="24" t="n">
        <v>8082</v>
      </c>
      <c r="B479" s="25" t="inlineStr">
        <is>
          <t>Desarrollo de soluciones de business intelligence</t>
        </is>
      </c>
      <c r="C479" s="24" t="inlineStr">
        <is>
          <t>Business Intelligence</t>
        </is>
      </c>
      <c r="D479" s="25" t="inlineStr">
        <is>
          <t>Servicios De Creación De Soluciones De Bi Para El Análisis, Visualización Y Monitoreo De Datos.</t>
        </is>
      </c>
      <c r="E479" s="26" t="n">
        <v>4500</v>
      </c>
      <c r="F479" s="27">
        <f>E479/Config!$B$1</f>
        <v/>
      </c>
      <c r="G479" s="28" t="inlineStr">
        <is>
          <t>Estimado (mediana de categoría)</t>
        </is>
      </c>
    </row>
    <row r="480" ht="23.25" customHeight="1" s="19">
      <c r="A480" s="24" t="n">
        <v>6352</v>
      </c>
      <c r="B480" s="25" t="inlineStr">
        <is>
          <t>Desarrollo de soluciones de inteligencia artificial</t>
        </is>
      </c>
      <c r="C480" s="24" t="inlineStr">
        <is>
          <t>Business Intelligence</t>
        </is>
      </c>
      <c r="D480" s="25" t="inlineStr">
        <is>
          <t>Servicios De Creación De Soluciones De Ia Para Automatización, Análisis Y Toma De Decisiones.</t>
        </is>
      </c>
      <c r="E480" s="26" t="n">
        <v>22500</v>
      </c>
      <c r="F480" s="27">
        <f>E480/Config!$B$1</f>
        <v/>
      </c>
      <c r="G480" s="24" t="inlineStr">
        <is>
          <t>Real</t>
        </is>
      </c>
    </row>
    <row r="481" ht="15" customHeight="1" s="19">
      <c r="A481" s="24" t="n">
        <v>7617</v>
      </c>
      <c r="B481" s="25" t="inlineStr">
        <is>
          <t>Desarrollo de soluciones de inteligencia de negocios</t>
        </is>
      </c>
      <c r="C481" s="24" t="inlineStr">
        <is>
          <t>Business Intelligence</t>
        </is>
      </c>
      <c r="D481" s="25" t="inlineStr">
        <is>
          <t>Soluciones De Inteligencia De Negocios</t>
        </is>
      </c>
      <c r="E481" s="26" t="n">
        <v>1620</v>
      </c>
      <c r="F481" s="27">
        <f>E481/Config!$B$1</f>
        <v/>
      </c>
      <c r="G481" s="24" t="inlineStr">
        <is>
          <t>Real</t>
        </is>
      </c>
    </row>
    <row r="482" ht="23.25" customHeight="1" s="19">
      <c r="A482" s="24" t="n">
        <v>6390</v>
      </c>
      <c r="B482" s="25" t="inlineStr">
        <is>
          <t>Desarrollo de soluciones de inteligencia de negocios (BI)</t>
        </is>
      </c>
      <c r="C482" s="24" t="inlineStr">
        <is>
          <t>Business Intelligence</t>
        </is>
      </c>
      <c r="D482" s="25" t="inlineStr">
        <is>
          <t>Servicios De Creación De Soluciones De Inteligencia De Negocios (Bi) Para Empresas.</t>
        </is>
      </c>
      <c r="E482" s="26" t="n">
        <v>22500</v>
      </c>
      <c r="F482" s="27">
        <f>E482/Config!$B$1</f>
        <v/>
      </c>
      <c r="G482" s="24" t="inlineStr">
        <is>
          <t>Real</t>
        </is>
      </c>
    </row>
    <row r="483" ht="23.25" customHeight="1" s="19">
      <c r="A483" s="24" t="n">
        <v>8101</v>
      </c>
      <c r="B483" s="25" t="inlineStr">
        <is>
          <t>Desarrollo de soluciones de inteligencia de negocios (BI)</t>
        </is>
      </c>
      <c r="C483" s="24" t="inlineStr">
        <is>
          <t>Business Intelligence</t>
        </is>
      </c>
      <c r="D483" s="25" t="inlineStr">
        <is>
          <t>Servicios De Creación De Soluciones De Inteligencia De Negocios (Bi) Para Empresas.</t>
        </is>
      </c>
      <c r="E483" s="26" t="n">
        <v>4500</v>
      </c>
      <c r="F483" s="27">
        <f>E483/Config!$B$1</f>
        <v/>
      </c>
      <c r="G483" s="28" t="inlineStr">
        <is>
          <t>Estimado (mediana de categoría)</t>
        </is>
      </c>
    </row>
    <row r="484" ht="68.25" customHeight="1" s="19">
      <c r="A484" s="24" t="n">
        <v>8232</v>
      </c>
      <c r="B484" s="25" t="inlineStr">
        <is>
          <t>Estrategia de Ecommerce: Maximiza tus ventas y rentabilidad online</t>
        </is>
      </c>
      <c r="C484" s="24" t="inlineStr">
        <is>
          <t>Business Intelligence</t>
        </is>
      </c>
      <c r="D484" s="25" t="inlineStr">
        <is>
          <t>Servicio de consultoría en estrategia de ecommerce que te ayuda a analizar el mercado, optimizar tu tienda online, implementar campañas de marketing digital, gestionar redes sociales y monitorear el rendimiento para maximizar tus ventas y rentabilidad online.</t>
        </is>
      </c>
      <c r="E484" s="26" t="n">
        <v>4500</v>
      </c>
      <c r="F484" s="27">
        <f>E484/Config!$B$1</f>
        <v/>
      </c>
      <c r="G484" s="28" t="inlineStr">
        <is>
          <t>Estimado (mediana de categoría)</t>
        </is>
      </c>
    </row>
    <row r="485" ht="15" customHeight="1" s="19">
      <c r="A485" s="24" t="n">
        <v>6051</v>
      </c>
      <c r="B485" s="25" t="inlineStr">
        <is>
          <t>Estrategia empresarial</t>
        </is>
      </c>
      <c r="C485" s="24" t="inlineStr">
        <is>
          <t>Business Intelligence</t>
        </is>
      </c>
      <c r="D485" s="25" t="inlineStr">
        <is>
          <t>Estrategia</t>
        </is>
      </c>
      <c r="E485" s="26" t="n">
        <v>4500</v>
      </c>
      <c r="F485" s="27">
        <f>E485/Config!$B$1</f>
        <v/>
      </c>
      <c r="G485" s="28" t="inlineStr">
        <is>
          <t>Estimado (mediana de categoría)</t>
        </is>
      </c>
    </row>
    <row r="486" ht="15" customHeight="1" s="19">
      <c r="A486" s="24" t="n">
        <v>5952</v>
      </c>
      <c r="B486" s="25" t="inlineStr">
        <is>
          <t>Estrategia y Arquitectura Empresarial</t>
        </is>
      </c>
      <c r="C486" s="24" t="inlineStr">
        <is>
          <t>Business Intelligence</t>
        </is>
      </c>
      <c r="D486" s="25" t="inlineStr">
        <is>
          <t>Arquitectura Empresarial</t>
        </is>
      </c>
      <c r="E486" s="26" t="n">
        <v>4500</v>
      </c>
      <c r="F486" s="27">
        <f>E486/Config!$B$1</f>
        <v/>
      </c>
      <c r="G486" s="28" t="inlineStr">
        <is>
          <t>Estimado (mediana de categoría)</t>
        </is>
      </c>
    </row>
    <row r="487" ht="15" customHeight="1" s="19">
      <c r="A487" s="24" t="n">
        <v>5922</v>
      </c>
      <c r="B487" s="25" t="inlineStr">
        <is>
          <t>Estrategia y transformación digital</t>
        </is>
      </c>
      <c r="C487" s="24" t="inlineStr">
        <is>
          <t>Business Intelligence</t>
        </is>
      </c>
      <c r="D487" s="25" t="inlineStr">
        <is>
          <t>Estrategia Y Transformación Digital</t>
        </is>
      </c>
      <c r="E487" s="26" t="n">
        <v>5500</v>
      </c>
      <c r="F487" s="27">
        <f>E487/Config!$B$1</f>
        <v/>
      </c>
      <c r="G487" s="24" t="inlineStr">
        <is>
          <t>Real</t>
        </is>
      </c>
    </row>
    <row r="488" ht="45.75" customHeight="1" s="19">
      <c r="A488" s="24" t="n">
        <v>7517</v>
      </c>
      <c r="B488" s="25" t="inlineStr">
        <is>
          <t>Evaluación de Impacto Continuo: Monitorea y Mejora tus Resultados en Tiempo Real</t>
        </is>
      </c>
      <c r="C488" s="24" t="inlineStr">
        <is>
          <t>Business Intelligence</t>
        </is>
      </c>
      <c r="D488" s="25" t="inlineStr">
        <is>
          <t>Evaluación de Impacto Continuo: Medí y mejorá el impacto de tus iniciativas en tiempo real con seguimiento personalizado, análisis avanzado e informes automatizados.</t>
        </is>
      </c>
      <c r="E488" s="26" t="n">
        <v>4500</v>
      </c>
      <c r="F488" s="27">
        <f>E488/Config!$B$1</f>
        <v/>
      </c>
      <c r="G488" s="28" t="inlineStr">
        <is>
          <t>Estimado (mediana de categoría)</t>
        </is>
      </c>
    </row>
    <row r="489" ht="23.25" customHeight="1" s="19">
      <c r="A489" s="24" t="n">
        <v>7554</v>
      </c>
      <c r="B489" s="25" t="inlineStr">
        <is>
          <t>Evaluación de Impacto: Analiza y Mide el Éxito de tus Iniciativas</t>
        </is>
      </c>
      <c r="C489" s="24" t="inlineStr">
        <is>
          <t>Business Intelligence</t>
        </is>
      </c>
      <c r="D489" s="25" t="inlineStr">
        <is>
          <t>Evaluación de Impacto: Herramienta para medir el éxito de tus iniciativas.</t>
        </is>
      </c>
      <c r="E489" s="26" t="n">
        <v>400</v>
      </c>
      <c r="F489" s="27">
        <f>E489/Config!$B$1</f>
        <v/>
      </c>
      <c r="G489" s="24" t="inlineStr">
        <is>
          <t>Real</t>
        </is>
      </c>
    </row>
    <row r="490" ht="15" customHeight="1" s="19">
      <c r="A490" s="24" t="n">
        <v>6061</v>
      </c>
      <c r="B490" s="25" t="inlineStr">
        <is>
          <t>Generación Automatizada de Informes Ejecutivos</t>
        </is>
      </c>
      <c r="C490" s="24" t="inlineStr">
        <is>
          <t>Business Intelligence</t>
        </is>
      </c>
      <c r="D490" s="25" t="inlineStr">
        <is>
          <t>Informes Ejecutivos Automáticos.</t>
        </is>
      </c>
      <c r="E490" s="26" t="n">
        <v>3500</v>
      </c>
      <c r="F490" s="27">
        <f>E490/Config!$B$1</f>
        <v/>
      </c>
      <c r="G490" s="24" t="inlineStr">
        <is>
          <t>Real</t>
        </is>
      </c>
    </row>
    <row r="491" ht="15" customHeight="1" s="19">
      <c r="A491" s="24" t="n">
        <v>7796</v>
      </c>
      <c r="B491" s="25" t="inlineStr">
        <is>
          <t>Generación Automatizada de Informes Ejecutivos</t>
        </is>
      </c>
      <c r="C491" s="24" t="inlineStr">
        <is>
          <t>Business Intelligence</t>
        </is>
      </c>
      <c r="D491" s="25" t="inlineStr">
        <is>
          <t>Informes Ejecutivos Automáticos.</t>
        </is>
      </c>
      <c r="E491" s="26" t="n">
        <v>4500</v>
      </c>
      <c r="F491" s="27">
        <f>E491/Config!$B$1</f>
        <v/>
      </c>
      <c r="G491" s="28" t="inlineStr">
        <is>
          <t>Estimado (mediana de categoría)</t>
        </is>
      </c>
    </row>
    <row r="492" ht="15" customHeight="1" s="19">
      <c r="A492" s="24" t="n">
        <v>6137</v>
      </c>
      <c r="B492" s="25" t="inlineStr">
        <is>
          <t>Generación de Informes Inteligentes</t>
        </is>
      </c>
      <c r="C492" s="24" t="inlineStr">
        <is>
          <t>Business Intelligence</t>
        </is>
      </c>
      <c r="D492" s="25" t="inlineStr">
        <is>
          <t>Informes Inteligentes</t>
        </is>
      </c>
      <c r="E492" s="26" t="n">
        <v>4300</v>
      </c>
      <c r="F492" s="27">
        <f>E492/Config!$B$1</f>
        <v/>
      </c>
      <c r="G492" s="24" t="inlineStr">
        <is>
          <t>Real</t>
        </is>
      </c>
    </row>
    <row r="493" ht="15" customHeight="1" s="19">
      <c r="A493" s="24" t="n">
        <v>7861</v>
      </c>
      <c r="B493" s="25" t="inlineStr">
        <is>
          <t>Generación de Informes Inteligentes</t>
        </is>
      </c>
      <c r="C493" s="24" t="inlineStr">
        <is>
          <t>Business Intelligence</t>
        </is>
      </c>
      <c r="D493" s="25" t="inlineStr">
        <is>
          <t>Informes Inteligentes</t>
        </is>
      </c>
      <c r="E493" s="26" t="n">
        <v>4500</v>
      </c>
      <c r="F493" s="27">
        <f>E493/Config!$B$1</f>
        <v/>
      </c>
      <c r="G493" s="28" t="inlineStr">
        <is>
          <t>Estimado (mediana de categoría)</t>
        </is>
      </c>
    </row>
    <row r="494" ht="23.25" customHeight="1" s="19">
      <c r="A494" s="24" t="n">
        <v>6298</v>
      </c>
      <c r="B494" s="25" t="inlineStr">
        <is>
          <t>Gestión de Cumplimiento Normativo con IA</t>
        </is>
      </c>
      <c r="C494" s="24" t="inlineStr">
        <is>
          <t>Business Intelligence</t>
        </is>
      </c>
      <c r="D494" s="25" t="inlineStr">
        <is>
          <t>Solución De Gestión De Cumplimiento Normativo Con Ia</t>
        </is>
      </c>
      <c r="E494" s="26" t="n">
        <v>149</v>
      </c>
      <c r="F494" s="27">
        <f>E494/Config!$B$1</f>
        <v/>
      </c>
      <c r="G494" s="24" t="inlineStr">
        <is>
          <t>Real</t>
        </is>
      </c>
    </row>
    <row r="495" ht="23.25" customHeight="1" s="19">
      <c r="A495" s="24" t="n">
        <v>8011</v>
      </c>
      <c r="B495" s="25" t="inlineStr">
        <is>
          <t>Gestión de Cumplimiento Normativo con IA</t>
        </is>
      </c>
      <c r="C495" s="24" t="inlineStr">
        <is>
          <t>Business Intelligence</t>
        </is>
      </c>
      <c r="D495" s="25" t="inlineStr">
        <is>
          <t>Solución De Gestión De Cumplimiento Normativo Con Ia</t>
        </is>
      </c>
      <c r="E495" s="26" t="n">
        <v>4500</v>
      </c>
      <c r="F495" s="27">
        <f>E495/Config!$B$1</f>
        <v/>
      </c>
      <c r="G495" s="28" t="inlineStr">
        <is>
          <t>Estimado (mediana de categoría)</t>
        </is>
      </c>
    </row>
    <row r="496" ht="15" customHeight="1" s="19">
      <c r="A496" s="24" t="n">
        <v>6295</v>
      </c>
      <c r="B496" s="25" t="inlineStr">
        <is>
          <t>Gestión de Riesgos con IA</t>
        </is>
      </c>
      <c r="C496" s="24" t="inlineStr">
        <is>
          <t>Business Intelligence</t>
        </is>
      </c>
      <c r="D496" s="25" t="inlineStr">
        <is>
          <t>Solución De Gestión De Riesgos Basada En Ia</t>
        </is>
      </c>
      <c r="E496" s="26" t="n">
        <v>199</v>
      </c>
      <c r="F496" s="27">
        <f>E496/Config!$B$1</f>
        <v/>
      </c>
      <c r="G496" s="24" t="inlineStr">
        <is>
          <t>Real</t>
        </is>
      </c>
    </row>
    <row r="497" ht="15" customHeight="1" s="19">
      <c r="A497" s="24" t="n">
        <v>8008</v>
      </c>
      <c r="B497" s="25" t="inlineStr">
        <is>
          <t>Gestión de Riesgos con IA</t>
        </is>
      </c>
      <c r="C497" s="24" t="inlineStr">
        <is>
          <t>Business Intelligence</t>
        </is>
      </c>
      <c r="D497" s="25" t="inlineStr">
        <is>
          <t>Solución De Gestión De Riesgos Basada En Ia</t>
        </is>
      </c>
      <c r="E497" s="26" t="n">
        <v>4500</v>
      </c>
      <c r="F497" s="27">
        <f>E497/Config!$B$1</f>
        <v/>
      </c>
      <c r="G497" s="28" t="inlineStr">
        <is>
          <t>Estimado (mediana de categoría)</t>
        </is>
      </c>
    </row>
    <row r="498" ht="15" customHeight="1" s="19">
      <c r="A498" s="24" t="n">
        <v>5926</v>
      </c>
      <c r="B498" s="25" t="inlineStr">
        <is>
          <t>Gestión de la innovación</t>
        </is>
      </c>
      <c r="C498" s="24" t="inlineStr">
        <is>
          <t>Business Intelligence</t>
        </is>
      </c>
      <c r="D498" s="25" t="inlineStr">
        <is>
          <t>Gestión De La Innovación.</t>
        </is>
      </c>
      <c r="E498" s="26" t="n">
        <v>5500</v>
      </c>
      <c r="F498" s="27">
        <f>E498/Config!$B$1</f>
        <v/>
      </c>
      <c r="G498" s="24" t="inlineStr">
        <is>
          <t>Real</t>
        </is>
      </c>
    </row>
    <row r="499" ht="15" customHeight="1" s="19">
      <c r="A499" s="24" t="n">
        <v>5935</v>
      </c>
      <c r="B499" s="25" t="inlineStr">
        <is>
          <t>Gestión de riesgos empresariales</t>
        </is>
      </c>
      <c r="C499" s="24" t="inlineStr">
        <is>
          <t>Business Intelligence</t>
        </is>
      </c>
      <c r="D499" s="25" t="inlineStr">
        <is>
          <t>Gestión De Riesgos Empresariales</t>
        </is>
      </c>
      <c r="E499" s="26" t="n">
        <v>6500</v>
      </c>
      <c r="F499" s="27">
        <f>E499/Config!$B$1</f>
        <v/>
      </c>
      <c r="G499" s="24" t="inlineStr">
        <is>
          <t>Real</t>
        </is>
      </c>
    </row>
    <row r="500" ht="15" customHeight="1" s="19">
      <c r="A500" s="24" t="n">
        <v>5962</v>
      </c>
      <c r="B500" s="25" t="inlineStr">
        <is>
          <t>Gobernanza de Datos</t>
        </is>
      </c>
      <c r="C500" s="24" t="inlineStr">
        <is>
          <t>Business Intelligence</t>
        </is>
      </c>
      <c r="D500" s="25" t="inlineStr">
        <is>
          <t>Gobernanza De Datos</t>
        </is>
      </c>
      <c r="E500" s="26" t="n">
        <v>4500</v>
      </c>
      <c r="F500" s="27">
        <f>E500/Config!$B$1</f>
        <v/>
      </c>
      <c r="G500" s="28" t="inlineStr">
        <is>
          <t>Estimado (mediana de categoría)</t>
        </is>
      </c>
    </row>
    <row r="501" ht="15" customHeight="1" s="19">
      <c r="A501" s="24" t="n">
        <v>6080</v>
      </c>
      <c r="B501" s="25" t="inlineStr">
        <is>
          <t>Gobernanza de datos y gestión del ciclo de vida</t>
        </is>
      </c>
      <c r="C501" s="24" t="inlineStr">
        <is>
          <t>Business Intelligence</t>
        </is>
      </c>
      <c r="D501" s="25" t="inlineStr">
        <is>
          <t>Gobernanza De Datos Y Gestión Del Ciclo De Vida.</t>
        </is>
      </c>
      <c r="E501" s="26" t="n">
        <v>3600</v>
      </c>
      <c r="F501" s="27">
        <f>E501/Config!$B$1</f>
        <v/>
      </c>
      <c r="G501" s="24" t="inlineStr">
        <is>
          <t>Real</t>
        </is>
      </c>
    </row>
    <row r="502" ht="15" customHeight="1" s="19">
      <c r="A502" s="24" t="n">
        <v>7804</v>
      </c>
      <c r="B502" s="25" t="inlineStr">
        <is>
          <t>Gobernanza de datos y gestión del ciclo de vida</t>
        </is>
      </c>
      <c r="C502" s="24" t="inlineStr">
        <is>
          <t>Business Intelligence</t>
        </is>
      </c>
      <c r="D502" s="25" t="inlineStr">
        <is>
          <t>Gobernanza De Datos Y Gestión Del Ciclo De Vida.</t>
        </is>
      </c>
      <c r="E502" s="26" t="n">
        <v>4500</v>
      </c>
      <c r="F502" s="27">
        <f>E502/Config!$B$1</f>
        <v/>
      </c>
      <c r="G502" s="28" t="inlineStr">
        <is>
          <t>Estimado (mediana de categoría)</t>
        </is>
      </c>
    </row>
    <row r="503" ht="15" customHeight="1" s="19">
      <c r="A503" s="24" t="n">
        <v>5949</v>
      </c>
      <c r="B503" s="25" t="inlineStr">
        <is>
          <t>Gobierno de Datos</t>
        </is>
      </c>
      <c r="C503" s="24" t="inlineStr">
        <is>
          <t>Business Intelligence</t>
        </is>
      </c>
      <c r="D503" s="25" t="inlineStr">
        <is>
          <t>Gestión Del Ciclo De Vida De Datos</t>
        </is>
      </c>
      <c r="E503" s="26" t="n">
        <v>4500</v>
      </c>
      <c r="F503" s="27">
        <f>E503/Config!$B$1</f>
        <v/>
      </c>
      <c r="G503" s="28" t="inlineStr">
        <is>
          <t>Estimado (mediana de categoría)</t>
        </is>
      </c>
    </row>
    <row r="504" ht="15" customHeight="1" s="19">
      <c r="A504" s="24" t="n">
        <v>6116</v>
      </c>
      <c r="B504" s="25" t="inlineStr">
        <is>
          <t>Gobierno de Datos y Gestión</t>
        </is>
      </c>
      <c r="C504" s="24" t="inlineStr">
        <is>
          <t>Business Intelligence</t>
        </is>
      </c>
      <c r="D504" s="25" t="inlineStr">
        <is>
          <t>Gobierno De Datos Y Gestión</t>
        </is>
      </c>
      <c r="E504" s="26" t="n">
        <v>5500</v>
      </c>
      <c r="F504" s="27">
        <f>E504/Config!$B$1</f>
        <v/>
      </c>
      <c r="G504" s="24" t="inlineStr">
        <is>
          <t>Real</t>
        </is>
      </c>
    </row>
    <row r="505" ht="15" customHeight="1" s="19">
      <c r="A505" s="24" t="n">
        <v>7840</v>
      </c>
      <c r="B505" s="25" t="inlineStr">
        <is>
          <t>Gobierno de Datos y Gestión</t>
        </is>
      </c>
      <c r="C505" s="24" t="inlineStr">
        <is>
          <t>Business Intelligence</t>
        </is>
      </c>
      <c r="D505" s="25" t="inlineStr">
        <is>
          <t>Gobierno De Datos Y Gestión</t>
        </is>
      </c>
      <c r="E505" s="26" t="n">
        <v>4500</v>
      </c>
      <c r="F505" s="27">
        <f>E505/Config!$B$1</f>
        <v/>
      </c>
      <c r="G505" s="28" t="inlineStr">
        <is>
          <t>Estimado (mediana de categoría)</t>
        </is>
      </c>
    </row>
    <row r="506" ht="15" customHeight="1" s="19">
      <c r="A506" s="24" t="n">
        <v>5919</v>
      </c>
      <c r="B506" s="25" t="inlineStr">
        <is>
          <t>Gobierno de datos y gestión de la información</t>
        </is>
      </c>
      <c r="C506" s="24" t="inlineStr">
        <is>
          <t>Business Intelligence</t>
        </is>
      </c>
      <c r="D506" s="25" t="inlineStr">
        <is>
          <t>Gobierno De Datos Y Gestión De La Información</t>
        </is>
      </c>
      <c r="E506" s="26" t="n">
        <v>5000</v>
      </c>
      <c r="F506" s="27">
        <f>E506/Config!$B$1</f>
        <v/>
      </c>
      <c r="G506" s="24" t="inlineStr">
        <is>
          <t>Real</t>
        </is>
      </c>
    </row>
    <row r="507" ht="15" customHeight="1" s="19">
      <c r="A507" s="24" t="n">
        <v>7701</v>
      </c>
      <c r="B507" s="25" t="inlineStr">
        <is>
          <t>Gobierno de datos y gestión de la información</t>
        </is>
      </c>
      <c r="C507" s="24" t="inlineStr">
        <is>
          <t>Business Intelligence</t>
        </is>
      </c>
      <c r="D507" s="25" t="inlineStr">
        <is>
          <t>Gobierno De Datos Y Gestión De La Información</t>
        </is>
      </c>
      <c r="E507" s="26" t="n">
        <v>4500</v>
      </c>
      <c r="F507" s="27">
        <f>E507/Config!$B$1</f>
        <v/>
      </c>
      <c r="G507" s="28" t="inlineStr">
        <is>
          <t>Estimado (mediana de categoría)</t>
        </is>
      </c>
    </row>
    <row r="508" ht="15" customHeight="1" s="19">
      <c r="A508" s="24" t="n">
        <v>6114</v>
      </c>
      <c r="B508" s="25" t="inlineStr">
        <is>
          <t>IA y Aprendizaje Automático</t>
        </is>
      </c>
      <c r="C508" s="24" t="inlineStr">
        <is>
          <t>Business Intelligence</t>
        </is>
      </c>
      <c r="D508" s="25" t="inlineStr">
        <is>
          <t>Ia Y Aprendizaje Automático</t>
        </is>
      </c>
      <c r="E508" s="26" t="n">
        <v>6500</v>
      </c>
      <c r="F508" s="27">
        <f>E508/Config!$B$1</f>
        <v/>
      </c>
      <c r="G508" s="24" t="inlineStr">
        <is>
          <t>Real</t>
        </is>
      </c>
    </row>
    <row r="509" ht="15" customHeight="1" s="19">
      <c r="A509" s="24" t="n">
        <v>7838</v>
      </c>
      <c r="B509" s="25" t="inlineStr">
        <is>
          <t>IA y Aprendizaje Automático</t>
        </is>
      </c>
      <c r="C509" s="24" t="inlineStr">
        <is>
          <t>Business Intelligence</t>
        </is>
      </c>
      <c r="D509" s="25" t="inlineStr">
        <is>
          <t>Ia Y Aprendizaje Automático</t>
        </is>
      </c>
      <c r="E509" s="26" t="n">
        <v>4500</v>
      </c>
      <c r="F509" s="27">
        <f>E509/Config!$B$1</f>
        <v/>
      </c>
      <c r="G509" s="28" t="inlineStr">
        <is>
          <t>Estimado (mediana de categoría)</t>
        </is>
      </c>
    </row>
    <row r="510" ht="15" customHeight="1" s="19">
      <c r="A510" s="24" t="n">
        <v>6015</v>
      </c>
      <c r="B510" s="25" t="inlineStr">
        <is>
          <t>IA y ML</t>
        </is>
      </c>
      <c r="C510" s="24" t="inlineStr">
        <is>
          <t>Business Intelligence</t>
        </is>
      </c>
      <c r="D510" s="25" t="inlineStr">
        <is>
          <t>Ia Y Ml</t>
        </is>
      </c>
      <c r="E510" s="26" t="n">
        <v>4500</v>
      </c>
      <c r="F510" s="27">
        <f>E510/Config!$B$1</f>
        <v/>
      </c>
      <c r="G510" s="28" t="inlineStr">
        <is>
          <t>Estimado (mediana de categoría)</t>
        </is>
      </c>
    </row>
    <row r="511" ht="15" customHeight="1" s="19">
      <c r="A511" s="24" t="n">
        <v>5902</v>
      </c>
      <c r="B511" s="25" t="inlineStr">
        <is>
          <t>IT Consultancy</t>
        </is>
      </c>
      <c r="C511" s="24" t="inlineStr">
        <is>
          <t>Business Intelligence</t>
        </is>
      </c>
      <c r="D511" s="25" t="inlineStr">
        <is>
          <t>Consultoría It</t>
        </is>
      </c>
      <c r="E511" s="26" t="n">
        <v>6000</v>
      </c>
      <c r="F511" s="27">
        <f>E511/Config!$B$1</f>
        <v/>
      </c>
      <c r="G511" s="24" t="inlineStr">
        <is>
          <t>Real</t>
        </is>
      </c>
    </row>
    <row r="512" ht="15" customHeight="1" s="19">
      <c r="A512" s="24" t="n">
        <v>7446</v>
      </c>
      <c r="B512" s="25" t="inlineStr">
        <is>
          <t>Implementación Completa de BI</t>
        </is>
      </c>
      <c r="C512" s="24" t="inlineStr">
        <is>
          <t>Business Intelligence</t>
        </is>
      </c>
      <c r="D512" s="25" t="n"/>
      <c r="E512" s="26" t="n">
        <v>4500</v>
      </c>
      <c r="F512" s="27">
        <f>E512/Config!$B$1</f>
        <v/>
      </c>
      <c r="G512" s="28" t="inlineStr">
        <is>
          <t>Estimado (mediana de categoría)</t>
        </is>
      </c>
    </row>
    <row r="513" ht="15" customHeight="1" s="19">
      <c r="A513" s="24" t="n">
        <v>6737</v>
      </c>
      <c r="B513" s="25" t="inlineStr">
        <is>
          <t>Implementación De Dashboards Personalizados</t>
        </is>
      </c>
      <c r="C513" s="24" t="inlineStr">
        <is>
          <t>Business Intelligence</t>
        </is>
      </c>
      <c r="D513" s="25" t="inlineStr">
        <is>
          <t>Dashboards Personalizados.</t>
        </is>
      </c>
      <c r="E513" s="26" t="n">
        <v>2700</v>
      </c>
      <c r="F513" s="27">
        <f>E513/Config!$B$1</f>
        <v/>
      </c>
      <c r="G513" s="24" t="inlineStr">
        <is>
          <t>Real</t>
        </is>
      </c>
    </row>
    <row r="514" ht="15" customHeight="1" s="19">
      <c r="A514" s="24" t="n">
        <v>6762</v>
      </c>
      <c r="B514" s="25" t="inlineStr">
        <is>
          <t>Implementación De Sistemas De Gestión De Datos</t>
        </is>
      </c>
      <c r="C514" s="24" t="inlineStr">
        <is>
          <t>Business Intelligence</t>
        </is>
      </c>
      <c r="D514" s="25" t="inlineStr">
        <is>
          <t>Gestión De Datos</t>
        </is>
      </c>
      <c r="E514" s="26" t="n">
        <v>7200</v>
      </c>
      <c r="F514" s="27">
        <f>E514/Config!$B$1</f>
        <v/>
      </c>
      <c r="G514" s="24" t="inlineStr">
        <is>
          <t>Real</t>
        </is>
      </c>
    </row>
    <row r="515" ht="23.25" customHeight="1" s="19">
      <c r="A515" s="24" t="n">
        <v>7519</v>
      </c>
      <c r="B515" s="25" t="inlineStr">
        <is>
          <t>Implementación de Business Intelligence: Optimiza tus decisiones con datos</t>
        </is>
      </c>
      <c r="C515" s="24" t="inlineStr">
        <is>
          <t>Business Intelligence</t>
        </is>
      </c>
      <c r="D515" s="25" t="inlineStr">
        <is>
          <t>Implementación de Business Intelligence: una transformación para la toma de decisiones</t>
        </is>
      </c>
      <c r="E515" s="26" t="n">
        <v>4500</v>
      </c>
      <c r="F515" s="27">
        <f>E515/Config!$B$1</f>
        <v/>
      </c>
      <c r="G515" s="28" t="inlineStr">
        <is>
          <t>Estimado (mediana de categoría)</t>
        </is>
      </c>
    </row>
    <row r="516" ht="15" customHeight="1" s="19">
      <c r="A516" s="24" t="n">
        <v>6731</v>
      </c>
      <c r="B516" s="25" t="inlineStr">
        <is>
          <t>Implementación de Dashboards</t>
        </is>
      </c>
      <c r="C516" s="24" t="inlineStr">
        <is>
          <t>Business Intelligence</t>
        </is>
      </c>
      <c r="D516" s="25" t="inlineStr">
        <is>
          <t>Dashboards Personalizados.</t>
        </is>
      </c>
      <c r="E516" s="26" t="n">
        <v>1600</v>
      </c>
      <c r="F516" s="27">
        <f>E516/Config!$B$1</f>
        <v/>
      </c>
      <c r="G516" s="24" t="inlineStr">
        <is>
          <t>Real</t>
        </is>
      </c>
    </row>
    <row r="517" ht="15" customHeight="1" s="19">
      <c r="A517" s="24" t="n">
        <v>7440</v>
      </c>
      <c r="B517" s="25" t="inlineStr">
        <is>
          <t>Implementación de Dashboards Simples</t>
        </is>
      </c>
      <c r="C517" s="24" t="inlineStr">
        <is>
          <t>Business Intelligence</t>
        </is>
      </c>
      <c r="D517" s="25" t="n"/>
      <c r="E517" s="26" t="n">
        <v>4500</v>
      </c>
      <c r="F517" s="27">
        <f>E517/Config!$B$1</f>
        <v/>
      </c>
      <c r="G517" s="28" t="inlineStr">
        <is>
          <t>Estimado (mediana de categoría)</t>
        </is>
      </c>
    </row>
    <row r="518" ht="15" customHeight="1" s="19">
      <c r="A518" s="24" t="n">
        <v>6769</v>
      </c>
      <c r="B518" s="25" t="inlineStr">
        <is>
          <t>Implementación de Herramientas de Análisis Predictivo</t>
        </is>
      </c>
      <c r="C518" s="24" t="inlineStr">
        <is>
          <t>Business Intelligence</t>
        </is>
      </c>
      <c r="D518" s="25" t="inlineStr">
        <is>
          <t>Herramientas De Análisis Predictivo</t>
        </is>
      </c>
      <c r="E518" s="26" t="n">
        <v>6800</v>
      </c>
      <c r="F518" s="27">
        <f>E518/Config!$B$1</f>
        <v/>
      </c>
      <c r="G518" s="24" t="inlineStr">
        <is>
          <t>Real</t>
        </is>
      </c>
    </row>
    <row r="519" ht="15" customHeight="1" s="19">
      <c r="A519" s="24" t="n">
        <v>6758</v>
      </c>
      <c r="B519" s="25" t="inlineStr">
        <is>
          <t>Implementación de Herramientas de BI</t>
        </is>
      </c>
      <c r="C519" s="24" t="inlineStr">
        <is>
          <t>Business Intelligence</t>
        </is>
      </c>
      <c r="D519" s="25" t="inlineStr">
        <is>
          <t>Herramientas De Bi</t>
        </is>
      </c>
      <c r="E519" s="26" t="n">
        <v>6700</v>
      </c>
      <c r="F519" s="27">
        <f>E519/Config!$B$1</f>
        <v/>
      </c>
      <c r="G519" s="24" t="inlineStr">
        <is>
          <t>Real</t>
        </is>
      </c>
    </row>
    <row r="520" ht="15" customHeight="1" s="19">
      <c r="A520" s="24" t="n">
        <v>6179</v>
      </c>
      <c r="B520" s="25" t="inlineStr">
        <is>
          <t>Implementación de Sistemas de IA</t>
        </is>
      </c>
      <c r="C520" s="24" t="inlineStr">
        <is>
          <t>Business Intelligence</t>
        </is>
      </c>
      <c r="D520" s="25" t="inlineStr">
        <is>
          <t>Sistemas De Ia</t>
        </is>
      </c>
      <c r="E520" s="26" t="n">
        <v>7500</v>
      </c>
      <c r="F520" s="27">
        <f>E520/Config!$B$1</f>
        <v/>
      </c>
      <c r="G520" s="24" t="inlineStr">
        <is>
          <t>Real</t>
        </is>
      </c>
    </row>
    <row r="521" ht="15" customHeight="1" s="19">
      <c r="A521" s="24" t="n">
        <v>7903</v>
      </c>
      <c r="B521" s="25" t="inlineStr">
        <is>
          <t>Implementación de Sistemas de IA</t>
        </is>
      </c>
      <c r="C521" s="24" t="inlineStr">
        <is>
          <t>Business Intelligence</t>
        </is>
      </c>
      <c r="D521" s="25" t="inlineStr">
        <is>
          <t>Sistemas De Ia</t>
        </is>
      </c>
      <c r="E521" s="26" t="n">
        <v>4500</v>
      </c>
      <c r="F521" s="27">
        <f>E521/Config!$B$1</f>
        <v/>
      </c>
      <c r="G521" s="28" t="inlineStr">
        <is>
          <t>Estimado (mediana de categoría)</t>
        </is>
      </c>
    </row>
    <row r="522" ht="15" customHeight="1" s="19">
      <c r="A522" s="24" t="n">
        <v>6092</v>
      </c>
      <c r="B522" s="25" t="inlineStr">
        <is>
          <t>Implementación de Sistemas de Inteligencia Artificial</t>
        </is>
      </c>
      <c r="C522" s="24" t="inlineStr">
        <is>
          <t>Business Intelligence</t>
        </is>
      </c>
      <c r="D522" s="25" t="inlineStr">
        <is>
          <t>Sistemas De Ia</t>
        </is>
      </c>
      <c r="E522" s="26" t="n">
        <v>7500</v>
      </c>
      <c r="F522" s="27">
        <f>E522/Config!$B$1</f>
        <v/>
      </c>
      <c r="G522" s="24" t="inlineStr">
        <is>
          <t>Real</t>
        </is>
      </c>
    </row>
    <row r="523" ht="15" customHeight="1" s="19">
      <c r="A523" s="24" t="n">
        <v>6038</v>
      </c>
      <c r="B523" s="25" t="inlineStr">
        <is>
          <t>Implementación de Soluciones de Análisis Predictivo</t>
        </is>
      </c>
      <c r="C523" s="24" t="inlineStr">
        <is>
          <t>Business Intelligence</t>
        </is>
      </c>
      <c r="D523" s="25" t="inlineStr">
        <is>
          <t>Análisis Predictivo Y Machine Learning</t>
        </is>
      </c>
      <c r="E523" s="26" t="n">
        <v>9000</v>
      </c>
      <c r="F523" s="27">
        <f>E523/Config!$B$1</f>
        <v/>
      </c>
      <c r="G523" s="24" t="inlineStr">
        <is>
          <t>Real</t>
        </is>
      </c>
    </row>
    <row r="524" ht="15" customHeight="1" s="19">
      <c r="A524" s="24" t="n">
        <v>7784</v>
      </c>
      <c r="B524" s="25" t="inlineStr">
        <is>
          <t>Implementación de Soluciones de Análisis Predictivo</t>
        </is>
      </c>
      <c r="C524" s="24" t="inlineStr">
        <is>
          <t>Business Intelligence</t>
        </is>
      </c>
      <c r="D524" s="25" t="inlineStr">
        <is>
          <t>Análisis Predictivo Y Machine Learning</t>
        </is>
      </c>
      <c r="E524" s="26" t="n">
        <v>4500</v>
      </c>
      <c r="F524" s="27">
        <f>E524/Config!$B$1</f>
        <v/>
      </c>
      <c r="G524" s="28" t="inlineStr">
        <is>
          <t>Estimado (mediana de categoría)</t>
        </is>
      </c>
    </row>
    <row r="525" ht="23.25" customHeight="1" s="19">
      <c r="A525" s="24" t="n">
        <v>5870</v>
      </c>
      <c r="B525" s="25" t="inlineStr">
        <is>
          <t>Implementación de Soluciones de Análisis de Datos Avanzado</t>
        </is>
      </c>
      <c r="C525" s="24" t="inlineStr">
        <is>
          <t>Business Intelligence</t>
        </is>
      </c>
      <c r="D525" s="25" t="inlineStr">
        <is>
          <t>Análisis De Datos Avanzado.</t>
        </is>
      </c>
      <c r="E525" s="26" t="n">
        <v>5500</v>
      </c>
      <c r="F525" s="27">
        <f>E525/Config!$B$1</f>
        <v/>
      </c>
      <c r="G525" s="24" t="inlineStr">
        <is>
          <t>Real</t>
        </is>
      </c>
    </row>
    <row r="526" ht="23.25" customHeight="1" s="19">
      <c r="A526" s="24" t="n">
        <v>7652</v>
      </c>
      <c r="B526" s="25" t="inlineStr">
        <is>
          <t>Implementación de Soluciones de Análisis de Datos Avanzado</t>
        </is>
      </c>
      <c r="C526" s="24" t="inlineStr">
        <is>
          <t>Business Intelligence</t>
        </is>
      </c>
      <c r="D526" s="25" t="inlineStr">
        <is>
          <t>Análisis De Datos Avanzado.</t>
        </is>
      </c>
      <c r="E526" s="26" t="n">
        <v>4500</v>
      </c>
      <c r="F526" s="27">
        <f>E526/Config!$B$1</f>
        <v/>
      </c>
      <c r="G526" s="28" t="inlineStr">
        <is>
          <t>Estimado (mediana de categoría)</t>
        </is>
      </c>
    </row>
    <row r="527" ht="23.25" customHeight="1" s="19">
      <c r="A527" s="24" t="n">
        <v>6034</v>
      </c>
      <c r="B527" s="25" t="inlineStr">
        <is>
          <t>Implementación de Soluciones de Análisis de Datos en Tiempo Real</t>
        </is>
      </c>
      <c r="C527" s="24" t="inlineStr">
        <is>
          <t>Business Intelligence</t>
        </is>
      </c>
      <c r="D527" s="25" t="inlineStr">
        <is>
          <t>Análisis De Datos Y Monitoreo De Kpis</t>
        </is>
      </c>
      <c r="E527" s="26" t="n">
        <v>9500</v>
      </c>
      <c r="F527" s="27">
        <f>E527/Config!$B$1</f>
        <v/>
      </c>
      <c r="G527" s="24" t="inlineStr">
        <is>
          <t>Real</t>
        </is>
      </c>
    </row>
    <row r="528" ht="23.25" customHeight="1" s="19">
      <c r="A528" s="24" t="n">
        <v>7780</v>
      </c>
      <c r="B528" s="25" t="inlineStr">
        <is>
          <t>Implementación de Soluciones de Análisis de Datos en Tiempo Real</t>
        </is>
      </c>
      <c r="C528" s="24" t="inlineStr">
        <is>
          <t>Business Intelligence</t>
        </is>
      </c>
      <c r="D528" s="25" t="inlineStr">
        <is>
          <t>Análisis De Datos Y Monitoreo De Kpis</t>
        </is>
      </c>
      <c r="E528" s="26" t="n">
        <v>4500</v>
      </c>
      <c r="F528" s="27">
        <f>E528/Config!$B$1</f>
        <v/>
      </c>
      <c r="G528" s="28" t="inlineStr">
        <is>
          <t>Estimado (mediana de categoría)</t>
        </is>
      </c>
    </row>
    <row r="529" ht="23.25" customHeight="1" s="19">
      <c r="A529" s="24" t="n">
        <v>7535</v>
      </c>
      <c r="B529" s="25" t="inlineStr">
        <is>
          <t>Implementación de Soluciones de BI: Optimiza la Toma de Decisiones con Datos</t>
        </is>
      </c>
      <c r="C529" s="24" t="inlineStr">
        <is>
          <t>Business Intelligence</t>
        </is>
      </c>
      <c r="D529" s="25" t="inlineStr">
        <is>
          <t>Implementación de Soluciones de BI: Transformando datos en decisiones inteligentes</t>
        </is>
      </c>
      <c r="E529" s="26" t="n">
        <v>800</v>
      </c>
      <c r="F529" s="27">
        <f>E529/Config!$B$1</f>
        <v/>
      </c>
      <c r="G529" s="24" t="inlineStr">
        <is>
          <t>Real</t>
        </is>
      </c>
    </row>
    <row r="530" ht="23.25" customHeight="1" s="19">
      <c r="A530" s="24" t="n">
        <v>6042</v>
      </c>
      <c r="B530" s="25" t="inlineStr">
        <is>
          <t>Implementación de Soluciones de Inteligencia de Negocios (BI)</t>
        </is>
      </c>
      <c r="C530" s="24" t="inlineStr">
        <is>
          <t>Business Intelligence</t>
        </is>
      </c>
      <c r="D530" s="25" t="inlineStr">
        <is>
          <t>Bi Y Analítica Visual Avanzada</t>
        </is>
      </c>
      <c r="E530" s="26" t="n">
        <v>9000</v>
      </c>
      <c r="F530" s="27">
        <f>E530/Config!$B$1</f>
        <v/>
      </c>
      <c r="G530" s="24" t="inlineStr">
        <is>
          <t>Real</t>
        </is>
      </c>
    </row>
    <row r="531" ht="23.25" customHeight="1" s="19">
      <c r="A531" s="24" t="n">
        <v>7788</v>
      </c>
      <c r="B531" s="25" t="inlineStr">
        <is>
          <t>Implementación de Soluciones de Inteligencia de Negocios (BI)</t>
        </is>
      </c>
      <c r="C531" s="24" t="inlineStr">
        <is>
          <t>Business Intelligence</t>
        </is>
      </c>
      <c r="D531" s="25" t="inlineStr">
        <is>
          <t>Bi Y Analítica Visual Avanzada</t>
        </is>
      </c>
      <c r="E531" s="26" t="n">
        <v>4500</v>
      </c>
      <c r="F531" s="27">
        <f>E531/Config!$B$1</f>
        <v/>
      </c>
      <c r="G531" s="28" t="inlineStr">
        <is>
          <t>Estimado (mediana de categoría)</t>
        </is>
      </c>
    </row>
    <row r="532" ht="15" customHeight="1" s="19">
      <c r="A532" s="24" t="n">
        <v>7586</v>
      </c>
      <c r="B532" s="25" t="inlineStr">
        <is>
          <t>Implementación de analítica avanzada</t>
        </is>
      </c>
      <c r="C532" s="24" t="inlineStr">
        <is>
          <t>Business Intelligence</t>
        </is>
      </c>
      <c r="D532" s="25" t="inlineStr">
        <is>
          <t>Soluciones De Analítica Avanzada</t>
        </is>
      </c>
      <c r="E532" s="26" t="n">
        <v>900</v>
      </c>
      <c r="F532" s="27">
        <f>E532/Config!$B$1</f>
        <v/>
      </c>
      <c r="G532" s="24" t="inlineStr">
        <is>
          <t>Real</t>
        </is>
      </c>
    </row>
    <row r="533" ht="15" customHeight="1" s="19">
      <c r="A533" s="24" t="n">
        <v>7575</v>
      </c>
      <c r="B533" s="25" t="inlineStr">
        <is>
          <t>Implementación de análisis de datos en tiempo real</t>
        </is>
      </c>
      <c r="C533" s="24" t="inlineStr">
        <is>
          <t>Business Intelligence</t>
        </is>
      </c>
      <c r="D533" s="25" t="inlineStr">
        <is>
          <t>Análisis En Tiempo Real</t>
        </is>
      </c>
      <c r="E533" s="26" t="n">
        <v>810</v>
      </c>
      <c r="F533" s="27">
        <f>E533/Config!$B$1</f>
        <v/>
      </c>
      <c r="G533" s="24" t="inlineStr">
        <is>
          <t>Real</t>
        </is>
      </c>
    </row>
    <row r="534" ht="34.5" customHeight="1" s="19">
      <c r="A534" s="24" t="n">
        <v>5995</v>
      </c>
      <c r="B534" s="25" t="inlineStr">
        <is>
          <t>Implementación de soluciones de análisis de datos en tiempo real y monitoreo de indicadores clave de desempeño (KPIs)</t>
        </is>
      </c>
      <c r="C534" s="24" t="inlineStr">
        <is>
          <t>Business Intelligence</t>
        </is>
      </c>
      <c r="D534" s="25" t="inlineStr">
        <is>
          <t>Análisis De Datos</t>
        </is>
      </c>
      <c r="E534" s="26" t="n">
        <v>13500</v>
      </c>
      <c r="F534" s="27">
        <f>E534/Config!$B$1</f>
        <v/>
      </c>
      <c r="G534" s="24" t="inlineStr">
        <is>
          <t>Real</t>
        </is>
      </c>
    </row>
    <row r="535" ht="34.5" customHeight="1" s="19">
      <c r="A535" s="24" t="n">
        <v>7758</v>
      </c>
      <c r="B535" s="25" t="inlineStr">
        <is>
          <t>Implementación de soluciones de análisis de datos en tiempo real y monitoreo de indicadores clave de desempeño (KPIs)</t>
        </is>
      </c>
      <c r="C535" s="24" t="inlineStr">
        <is>
          <t>Business Intelligence</t>
        </is>
      </c>
      <c r="D535" s="25" t="inlineStr">
        <is>
          <t>Análisis De Datos</t>
        </is>
      </c>
      <c r="E535" s="26" t="n">
        <v>4500</v>
      </c>
      <c r="F535" s="27">
        <f>E535/Config!$B$1</f>
        <v/>
      </c>
      <c r="G535" s="28" t="inlineStr">
        <is>
          <t>Estimado (mediana de categoría)</t>
        </is>
      </c>
    </row>
    <row r="536" ht="34.5" customHeight="1" s="19">
      <c r="A536" s="24" t="n">
        <v>6001</v>
      </c>
      <c r="B536" s="25" t="inlineStr">
        <is>
          <t>Implementación de soluciones de análisis predictivo y aprendizaje automático para anticipar tendencias y oportunidades</t>
        </is>
      </c>
      <c r="C536" s="24" t="inlineStr">
        <is>
          <t>Business Intelligence</t>
        </is>
      </c>
      <c r="D536" s="25" t="inlineStr">
        <is>
          <t>Análisis De Datos</t>
        </is>
      </c>
      <c r="E536" s="26" t="n">
        <v>14400</v>
      </c>
      <c r="F536" s="27">
        <f>E536/Config!$B$1</f>
        <v/>
      </c>
      <c r="G536" s="24" t="inlineStr">
        <is>
          <t>Real</t>
        </is>
      </c>
    </row>
    <row r="537" ht="34.5" customHeight="1" s="19">
      <c r="A537" s="24" t="n">
        <v>7764</v>
      </c>
      <c r="B537" s="25" t="inlineStr">
        <is>
          <t>Implementación de soluciones de análisis predictivo y aprendizaje automático para anticipar tendencias y oportunidades</t>
        </is>
      </c>
      <c r="C537" s="24" t="inlineStr">
        <is>
          <t>Business Intelligence</t>
        </is>
      </c>
      <c r="D537" s="25" t="inlineStr">
        <is>
          <t>Análisis De Datos</t>
        </is>
      </c>
      <c r="E537" s="26" t="n">
        <v>4500</v>
      </c>
      <c r="F537" s="27">
        <f>E537/Config!$B$1</f>
        <v/>
      </c>
      <c r="G537" s="28" t="inlineStr">
        <is>
          <t>Estimado (mediana de categoría)</t>
        </is>
      </c>
    </row>
    <row r="538" ht="23.25" customHeight="1" s="19">
      <c r="A538" s="24" t="n">
        <v>5977</v>
      </c>
      <c r="B538" s="25" t="inlineStr">
        <is>
          <t>Implementación de soluciones de análisis predictivo y minería de datos</t>
        </is>
      </c>
      <c r="C538" s="24" t="inlineStr">
        <is>
          <t>Business Intelligence</t>
        </is>
      </c>
      <c r="D538" s="25" t="inlineStr">
        <is>
          <t>Análisis Predictivo Y Minería De Datos</t>
        </is>
      </c>
      <c r="E538" s="26" t="n">
        <v>11700</v>
      </c>
      <c r="F538" s="27">
        <f>E538/Config!$B$1</f>
        <v/>
      </c>
      <c r="G538" s="24" t="inlineStr">
        <is>
          <t>Real</t>
        </is>
      </c>
    </row>
    <row r="539" ht="23.25" customHeight="1" s="19">
      <c r="A539" s="24" t="n">
        <v>7740</v>
      </c>
      <c r="B539" s="25" t="inlineStr">
        <is>
          <t>Implementación de soluciones de análisis predictivo y minería de datos</t>
        </is>
      </c>
      <c r="C539" s="24" t="inlineStr">
        <is>
          <t>Business Intelligence</t>
        </is>
      </c>
      <c r="D539" s="25" t="inlineStr">
        <is>
          <t>Análisis Predictivo Y Minería De Datos</t>
        </is>
      </c>
      <c r="E539" s="26" t="n">
        <v>4500</v>
      </c>
      <c r="F539" s="27">
        <f>E539/Config!$B$1</f>
        <v/>
      </c>
      <c r="G539" s="28" t="inlineStr">
        <is>
          <t>Estimado (mediana de categoría)</t>
        </is>
      </c>
    </row>
    <row r="540" ht="15" customHeight="1" s="19">
      <c r="A540" s="24" t="n">
        <v>7624</v>
      </c>
      <c r="B540" s="25" t="inlineStr">
        <is>
          <t>Implementación de soluciones de big data</t>
        </is>
      </c>
      <c r="C540" s="24" t="inlineStr">
        <is>
          <t>Business Intelligence</t>
        </is>
      </c>
      <c r="D540" s="25" t="inlineStr">
        <is>
          <t>Soluciones De Big Data</t>
        </is>
      </c>
      <c r="E540" s="26" t="n">
        <v>1620</v>
      </c>
      <c r="F540" s="27">
        <f>E540/Config!$B$1</f>
        <v/>
      </c>
      <c r="G540" s="24" t="inlineStr">
        <is>
          <t>Real</t>
        </is>
      </c>
    </row>
    <row r="541" ht="15" customHeight="1" s="19">
      <c r="A541" s="24" t="n">
        <v>7594</v>
      </c>
      <c r="B541" s="25" t="inlineStr">
        <is>
          <t>Implementación de soluciones de inteligencia artificial</t>
        </is>
      </c>
      <c r="C541" s="24" t="inlineStr">
        <is>
          <t>Business Intelligence</t>
        </is>
      </c>
      <c r="D541" s="25" t="inlineStr">
        <is>
          <t>Soluciones De Inteligencia Artificial</t>
        </is>
      </c>
      <c r="E541" s="26" t="n">
        <v>1350</v>
      </c>
      <c r="F541" s="27">
        <f>E541/Config!$B$1</f>
        <v/>
      </c>
      <c r="G541" s="24" t="inlineStr">
        <is>
          <t>Real</t>
        </is>
      </c>
    </row>
    <row r="542" ht="34.5" customHeight="1" s="19">
      <c r="A542" s="24" t="n">
        <v>6008</v>
      </c>
      <c r="B542" s="25" t="inlineStr">
        <is>
          <t>Implementación de soluciones de inteligencia de negocios (BI) y cuadros de mando (dashboards) avanzados con analítica visual</t>
        </is>
      </c>
      <c r="C542" s="24" t="inlineStr">
        <is>
          <t>Business Intelligence</t>
        </is>
      </c>
      <c r="D542" s="25" t="inlineStr">
        <is>
          <t>Análisis De Datos</t>
        </is>
      </c>
      <c r="E542" s="26" t="n">
        <v>18900</v>
      </c>
      <c r="F542" s="27">
        <f>E542/Config!$B$1</f>
        <v/>
      </c>
      <c r="G542" s="24" t="inlineStr">
        <is>
          <t>Real</t>
        </is>
      </c>
    </row>
    <row r="543" ht="34.5" customHeight="1" s="19">
      <c r="A543" s="24" t="n">
        <v>7771</v>
      </c>
      <c r="B543" s="25" t="inlineStr">
        <is>
          <t>Implementación de soluciones de inteligencia de negocios (BI) y cuadros de mando (dashboards) avanzados con analítica visual</t>
        </is>
      </c>
      <c r="C543" s="24" t="inlineStr">
        <is>
          <t>Business Intelligence</t>
        </is>
      </c>
      <c r="D543" s="25" t="inlineStr">
        <is>
          <t>Análisis De Datos</t>
        </is>
      </c>
      <c r="E543" s="26" t="n">
        <v>4500</v>
      </c>
      <c r="F543" s="27">
        <f>E543/Config!$B$1</f>
        <v/>
      </c>
      <c r="G543" s="28" t="inlineStr">
        <is>
          <t>Estimado (mediana de categoría)</t>
        </is>
      </c>
    </row>
    <row r="544" ht="34.5" customHeight="1" s="19">
      <c r="A544" s="24" t="n">
        <v>5968</v>
      </c>
      <c r="B544" s="25" t="inlineStr">
        <is>
          <t>Implementación de soluciones de inteligencia de negocios (BI) y cuadros de mando (dashboards) personalizados</t>
        </is>
      </c>
      <c r="C544" s="24" t="inlineStr">
        <is>
          <t>Business Intelligence</t>
        </is>
      </c>
      <c r="D544" s="25" t="inlineStr">
        <is>
          <t>Implementación De Bi Y Dashboards Personalizados</t>
        </is>
      </c>
      <c r="E544" s="26" t="n">
        <v>7200</v>
      </c>
      <c r="F544" s="27">
        <f>E544/Config!$B$1</f>
        <v/>
      </c>
      <c r="G544" s="24" t="inlineStr">
        <is>
          <t>Real</t>
        </is>
      </c>
    </row>
    <row r="545" ht="34.5" customHeight="1" s="19">
      <c r="A545" s="24" t="n">
        <v>7731</v>
      </c>
      <c r="B545" s="25" t="inlineStr">
        <is>
          <t>Implementación de soluciones de inteligencia de negocios (BI) y cuadros de mando (dashboards) personalizados</t>
        </is>
      </c>
      <c r="C545" s="24" t="inlineStr">
        <is>
          <t>Business Intelligence</t>
        </is>
      </c>
      <c r="D545" s="25" t="inlineStr">
        <is>
          <t>Implementación De Bi Y Dashboards Personalizados</t>
        </is>
      </c>
      <c r="E545" s="26" t="n">
        <v>4500</v>
      </c>
      <c r="F545" s="27">
        <f>E545/Config!$B$1</f>
        <v/>
      </c>
      <c r="G545" s="28" t="inlineStr">
        <is>
          <t>Estimado (mediana de categoría)</t>
        </is>
      </c>
    </row>
    <row r="546" ht="15" customHeight="1" s="19">
      <c r="A546" s="24" t="n">
        <v>7606</v>
      </c>
      <c r="B546" s="25" t="inlineStr">
        <is>
          <t>Implementación de soluciones de machine learning</t>
        </is>
      </c>
      <c r="C546" s="24" t="inlineStr">
        <is>
          <t>Business Intelligence</t>
        </is>
      </c>
      <c r="D546" s="25" t="inlineStr">
        <is>
          <t>Soluciones De Machine Learning</t>
        </is>
      </c>
      <c r="E546" s="26" t="n">
        <v>1350</v>
      </c>
      <c r="F546" s="27">
        <f>E546/Config!$B$1</f>
        <v/>
      </c>
      <c r="G546" s="24" t="inlineStr">
        <is>
          <t>Real</t>
        </is>
      </c>
    </row>
    <row r="547" ht="34.5" customHeight="1" s="19">
      <c r="A547" s="24" t="n">
        <v>7452</v>
      </c>
      <c r="B547" s="25" t="inlineStr">
        <is>
          <t>Implementación integral y consultoría continua en inteligencia de negocio para corporaciones de gran tamaño.</t>
        </is>
      </c>
      <c r="C547" s="24" t="inlineStr">
        <is>
          <t>Business Intelligence</t>
        </is>
      </c>
      <c r="D547" s="25" t="n"/>
      <c r="E547" s="26" t="n">
        <v>4500</v>
      </c>
      <c r="F547" s="27">
        <f>E547/Config!$B$1</f>
        <v/>
      </c>
      <c r="G547" s="28" t="inlineStr">
        <is>
          <t>Estimado (mediana de categoría)</t>
        </is>
      </c>
    </row>
    <row r="548" ht="23.25" customHeight="1" s="19">
      <c r="A548" s="24" t="n">
        <v>7552</v>
      </c>
      <c r="B548" s="25" t="inlineStr">
        <is>
          <t>Informe de Análisis de Rendimiento: Optimiza tu Estrategia Digital</t>
        </is>
      </c>
      <c r="C548" s="24" t="inlineStr">
        <is>
          <t>Business Intelligence</t>
        </is>
      </c>
      <c r="D548" s="25" t="inlineStr">
        <is>
          <t>Informe de Análisis de Rendimiento: Información valiosa para el éxito empresarial.</t>
        </is>
      </c>
      <c r="E548" s="26" t="n">
        <v>500</v>
      </c>
      <c r="F548" s="27">
        <f>E548/Config!$B$1</f>
        <v/>
      </c>
      <c r="G548" s="24" t="inlineStr">
        <is>
          <t>Real</t>
        </is>
      </c>
    </row>
    <row r="549" ht="15" customHeight="1" s="19">
      <c r="A549" s="24" t="n">
        <v>6069</v>
      </c>
      <c r="B549" s="25" t="inlineStr">
        <is>
          <t>Informes Ejecutivos</t>
        </is>
      </c>
      <c r="C549" s="24" t="inlineStr">
        <is>
          <t>Business Intelligence</t>
        </is>
      </c>
      <c r="D549" s="25" t="inlineStr">
        <is>
          <t>Informes Automáticos</t>
        </is>
      </c>
      <c r="E549" s="26" t="n">
        <v>4500</v>
      </c>
      <c r="F549" s="27">
        <f>E549/Config!$B$1</f>
        <v/>
      </c>
      <c r="G549" s="28" t="inlineStr">
        <is>
          <t>Estimado (mediana de categoría)</t>
        </is>
      </c>
    </row>
    <row r="550" ht="15" customHeight="1" s="19">
      <c r="A550" s="24" t="n">
        <v>5965</v>
      </c>
      <c r="B550" s="25" t="inlineStr">
        <is>
          <t>Innovación y Nuevos Modelos de Negocio</t>
        </is>
      </c>
      <c r="C550" s="24" t="inlineStr">
        <is>
          <t>Business Intelligence</t>
        </is>
      </c>
      <c r="D550" s="25" t="inlineStr">
        <is>
          <t>Innovación</t>
        </is>
      </c>
      <c r="E550" s="26" t="n">
        <v>4500</v>
      </c>
      <c r="F550" s="27">
        <f>E550/Config!$B$1</f>
        <v/>
      </c>
      <c r="G550" s="28" t="inlineStr">
        <is>
          <t>Estimado (mediana de categoría)</t>
        </is>
      </c>
    </row>
    <row r="551" ht="23.25" customHeight="1" s="19">
      <c r="A551" s="24" t="n">
        <v>6082</v>
      </c>
      <c r="B551" s="25" t="inlineStr">
        <is>
          <t>Innovación y nuevos modelos de negocio digitales</t>
        </is>
      </c>
      <c r="C551" s="24" t="inlineStr">
        <is>
          <t>Business Intelligence</t>
        </is>
      </c>
      <c r="D551" s="25" t="inlineStr">
        <is>
          <t>Innovación Y Desarrollo De Nuevos Modelos De Negocio Digitales.</t>
        </is>
      </c>
      <c r="E551" s="26" t="n">
        <v>4500</v>
      </c>
      <c r="F551" s="27">
        <f>E551/Config!$B$1</f>
        <v/>
      </c>
      <c r="G551" s="24" t="inlineStr">
        <is>
          <t>Real</t>
        </is>
      </c>
    </row>
    <row r="552" ht="15" customHeight="1" s="19">
      <c r="A552" s="24" t="n">
        <v>5934</v>
      </c>
      <c r="B552" s="25" t="inlineStr">
        <is>
          <t>Inteligencia artificial aplicada</t>
        </is>
      </c>
      <c r="C552" s="24" t="inlineStr">
        <is>
          <t>Business Intelligence</t>
        </is>
      </c>
      <c r="D552" s="25" t="inlineStr">
        <is>
          <t>Ia Aplicada</t>
        </is>
      </c>
      <c r="E552" s="26" t="n">
        <v>7500</v>
      </c>
      <c r="F552" s="27">
        <f>E552/Config!$B$1</f>
        <v/>
      </c>
      <c r="G552" s="24" t="inlineStr">
        <is>
          <t>Real</t>
        </is>
      </c>
    </row>
    <row r="553" ht="23.25" customHeight="1" s="19">
      <c r="A553" s="24" t="n">
        <v>6084</v>
      </c>
      <c r="B553" s="25" t="inlineStr">
        <is>
          <t>Inteligencia artificial y aprendizaje automático</t>
        </is>
      </c>
      <c r="C553" s="24" t="inlineStr">
        <is>
          <t>Business Intelligence</t>
        </is>
      </c>
      <c r="D553" s="25" t="inlineStr">
        <is>
          <t>Soluciones De Ia Y Ml Para Automatización De Procesos.</t>
        </is>
      </c>
      <c r="E553" s="26" t="n">
        <v>6500</v>
      </c>
      <c r="F553" s="27">
        <f>E553/Config!$B$1</f>
        <v/>
      </c>
      <c r="G553" s="24" t="inlineStr">
        <is>
          <t>Real</t>
        </is>
      </c>
    </row>
    <row r="554" ht="15" customHeight="1" s="19">
      <c r="A554" s="24" t="n">
        <v>6166</v>
      </c>
      <c r="B554" s="25" t="inlineStr">
        <is>
          <t>Inteligencia de Mercado para Identificar Tendencias</t>
        </is>
      </c>
      <c r="C554" s="24" t="inlineStr">
        <is>
          <t>Business Intelligence</t>
        </is>
      </c>
      <c r="D554" s="25" t="inlineStr">
        <is>
          <t>Inteligencia De Mercado</t>
        </is>
      </c>
      <c r="E554" s="26" t="n">
        <v>4200</v>
      </c>
      <c r="F554" s="27">
        <f>E554/Config!$B$1</f>
        <v/>
      </c>
      <c r="G554" s="24" t="inlineStr">
        <is>
          <t>Real</t>
        </is>
      </c>
    </row>
    <row r="555" ht="15" customHeight="1" s="19">
      <c r="A555" s="24" t="n">
        <v>7890</v>
      </c>
      <c r="B555" s="25" t="inlineStr">
        <is>
          <t>Inteligencia de Mercado para Identificar Tendencias</t>
        </is>
      </c>
      <c r="C555" s="24" t="inlineStr">
        <is>
          <t>Business Intelligence</t>
        </is>
      </c>
      <c r="D555" s="25" t="inlineStr">
        <is>
          <t>Inteligencia De Mercado</t>
        </is>
      </c>
      <c r="E555" s="26" t="n">
        <v>4500</v>
      </c>
      <c r="F555" s="27">
        <f>E555/Config!$B$1</f>
        <v/>
      </c>
      <c r="G555" s="28" t="inlineStr">
        <is>
          <t>Estimado (mediana de categoría)</t>
        </is>
      </c>
    </row>
    <row r="556" ht="15" customHeight="1" s="19">
      <c r="A556" s="24" t="n">
        <v>6030</v>
      </c>
      <c r="B556" s="25" t="inlineStr">
        <is>
          <t>Inteligencia de Negocios</t>
        </is>
      </c>
      <c r="C556" s="24" t="inlineStr">
        <is>
          <t>Business Intelligence</t>
        </is>
      </c>
      <c r="D556" s="25" t="inlineStr">
        <is>
          <t>Bi</t>
        </is>
      </c>
      <c r="E556" s="26" t="n">
        <v>4500</v>
      </c>
      <c r="F556" s="27">
        <f>E556/Config!$B$1</f>
        <v/>
      </c>
      <c r="G556" s="28" t="inlineStr">
        <is>
          <t>Estimado (mediana de categoría)</t>
        </is>
      </c>
    </row>
    <row r="557" ht="15" customHeight="1" s="19">
      <c r="A557" s="24" t="n">
        <v>6112</v>
      </c>
      <c r="B557" s="25" t="inlineStr">
        <is>
          <t>Inteligencia de Negocios (BI)</t>
        </is>
      </c>
      <c r="C557" s="24" t="inlineStr">
        <is>
          <t>Business Intelligence</t>
        </is>
      </c>
      <c r="D557" s="25" t="inlineStr">
        <is>
          <t>Inteligencia De Negocios</t>
        </is>
      </c>
      <c r="E557" s="26" t="n">
        <v>4700</v>
      </c>
      <c r="F557" s="27">
        <f>E557/Config!$B$1</f>
        <v/>
      </c>
      <c r="G557" s="24" t="inlineStr">
        <is>
          <t>Real</t>
        </is>
      </c>
    </row>
    <row r="558" ht="15" customHeight="1" s="19">
      <c r="A558" s="24" t="n">
        <v>7836</v>
      </c>
      <c r="B558" s="25" t="inlineStr">
        <is>
          <t>Inteligencia de Negocios (BI)</t>
        </is>
      </c>
      <c r="C558" s="24" t="inlineStr">
        <is>
          <t>Business Intelligence</t>
        </is>
      </c>
      <c r="D558" s="25" t="inlineStr">
        <is>
          <t>Inteligencia De Negocios</t>
        </is>
      </c>
      <c r="E558" s="26" t="n">
        <v>4500</v>
      </c>
      <c r="F558" s="27">
        <f>E558/Config!$B$1</f>
        <v/>
      </c>
      <c r="G558" s="28" t="inlineStr">
        <is>
          <t>Estimado (mediana de categoría)</t>
        </is>
      </c>
    </row>
    <row r="559" ht="23.25" customHeight="1" s="19">
      <c r="A559" s="24" t="n">
        <v>6333</v>
      </c>
      <c r="B559" s="25" t="inlineStr">
        <is>
          <t>Investigación de mercados</t>
        </is>
      </c>
      <c r="C559" s="24" t="inlineStr">
        <is>
          <t>Business Intelligence</t>
        </is>
      </c>
      <c r="D559" s="25" t="inlineStr">
        <is>
          <t>Servicios De Investigación De Mercados Para Recopilar Y Analizar Información.</t>
        </is>
      </c>
      <c r="E559" s="26" t="n">
        <v>3600</v>
      </c>
      <c r="F559" s="27">
        <f>E559/Config!$B$1</f>
        <v/>
      </c>
      <c r="G559" s="24" t="inlineStr">
        <is>
          <t>Real</t>
        </is>
      </c>
    </row>
    <row r="560" ht="23.25" customHeight="1" s="19">
      <c r="A560" s="24" t="n">
        <v>8044</v>
      </c>
      <c r="B560" s="25" t="inlineStr">
        <is>
          <t>Investigación de mercados</t>
        </is>
      </c>
      <c r="C560" s="24" t="inlineStr">
        <is>
          <t>Business Intelligence</t>
        </is>
      </c>
      <c r="D560" s="25" t="inlineStr">
        <is>
          <t>Servicios De Investigación De Mercados Para Recopilar Y Analizar Información.</t>
        </is>
      </c>
      <c r="E560" s="26" t="n">
        <v>4500</v>
      </c>
      <c r="F560" s="27">
        <f>E560/Config!$B$1</f>
        <v/>
      </c>
      <c r="G560" s="28" t="inlineStr">
        <is>
          <t>Estimado (mediana de categoría)</t>
        </is>
      </c>
    </row>
    <row r="561" ht="15" customHeight="1" s="19">
      <c r="A561" s="24" t="n">
        <v>5907</v>
      </c>
      <c r="B561" s="25" t="inlineStr">
        <is>
          <t>Optimización de Bases de Datos</t>
        </is>
      </c>
      <c r="C561" s="24" t="inlineStr">
        <is>
          <t>Business Intelligence</t>
        </is>
      </c>
      <c r="D561" s="25" t="inlineStr">
        <is>
          <t>Optimización De Bases De Datos</t>
        </is>
      </c>
      <c r="E561" s="26" t="n">
        <v>5000</v>
      </c>
      <c r="F561" s="27">
        <f>E561/Config!$B$1</f>
        <v/>
      </c>
      <c r="G561" s="24" t="inlineStr">
        <is>
          <t>Real</t>
        </is>
      </c>
    </row>
    <row r="562" ht="15" customHeight="1" s="19">
      <c r="A562" s="24" t="n">
        <v>7689</v>
      </c>
      <c r="B562" s="25" t="inlineStr">
        <is>
          <t>Optimización de Bases de Datos</t>
        </is>
      </c>
      <c r="C562" s="24" t="inlineStr">
        <is>
          <t>Business Intelligence</t>
        </is>
      </c>
      <c r="D562" s="25" t="inlineStr">
        <is>
          <t>Optimización De Bases De Datos</t>
        </is>
      </c>
      <c r="E562" s="26" t="n">
        <v>4500</v>
      </c>
      <c r="F562" s="27">
        <f>E562/Config!$B$1</f>
        <v/>
      </c>
      <c r="G562" s="28" t="inlineStr">
        <is>
          <t>Estimado (mediana de categoría)</t>
        </is>
      </c>
    </row>
    <row r="563" ht="15" customHeight="1" s="19">
      <c r="A563" s="24" t="n">
        <v>6206</v>
      </c>
      <c r="B563" s="25" t="inlineStr">
        <is>
          <t>Optimización de Competencia de Mercado</t>
        </is>
      </c>
      <c r="C563" s="24" t="inlineStr">
        <is>
          <t>Business Intelligence</t>
        </is>
      </c>
      <c r="D563" s="25" t="inlineStr">
        <is>
          <t>Optimización De Competencia</t>
        </is>
      </c>
      <c r="E563" s="26" t="n">
        <v>240</v>
      </c>
      <c r="F563" s="27">
        <f>E563/Config!$B$1</f>
        <v/>
      </c>
      <c r="G563" s="24" t="inlineStr">
        <is>
          <t>Real</t>
        </is>
      </c>
    </row>
    <row r="564" ht="15" customHeight="1" s="19">
      <c r="A564" s="24" t="n">
        <v>7930</v>
      </c>
      <c r="B564" s="25" t="inlineStr">
        <is>
          <t>Optimización de Competencia de Mercado</t>
        </is>
      </c>
      <c r="C564" s="24" t="inlineStr">
        <is>
          <t>Business Intelligence</t>
        </is>
      </c>
      <c r="D564" s="25" t="inlineStr">
        <is>
          <t>Optimización De Competencia</t>
        </is>
      </c>
      <c r="E564" s="26" t="n">
        <v>4500</v>
      </c>
      <c r="F564" s="27">
        <f>E564/Config!$B$1</f>
        <v/>
      </c>
      <c r="G564" s="28" t="inlineStr">
        <is>
          <t>Estimado (mediana de categoría)</t>
        </is>
      </c>
    </row>
    <row r="565" ht="15" customHeight="1" s="19">
      <c r="A565" s="24" t="n">
        <v>7926</v>
      </c>
      <c r="B565" s="25" t="inlineStr">
        <is>
          <t>Optimización de Energía y Recursos</t>
        </is>
      </c>
      <c r="C565" s="24" t="inlineStr">
        <is>
          <t>Business Intelligence</t>
        </is>
      </c>
      <c r="D565" s="25" t="inlineStr">
        <is>
          <t>Optimización De Energía</t>
        </is>
      </c>
      <c r="E565" s="26" t="n">
        <v>4500</v>
      </c>
      <c r="F565" s="27">
        <f>E565/Config!$B$1</f>
        <v/>
      </c>
      <c r="G565" s="28" t="inlineStr">
        <is>
          <t>Estimado (mediana de categoría)</t>
        </is>
      </c>
    </row>
    <row r="566" ht="15" customHeight="1" s="19">
      <c r="A566" s="24" t="n">
        <v>7932</v>
      </c>
      <c r="B566" s="25" t="inlineStr">
        <is>
          <t>Optimización de Energía y Sustentabilidad</t>
        </is>
      </c>
      <c r="C566" s="24" t="inlineStr">
        <is>
          <t>Business Intelligence</t>
        </is>
      </c>
      <c r="D566" s="25" t="inlineStr">
        <is>
          <t>Optimización De Energía</t>
        </is>
      </c>
      <c r="E566" s="26" t="n">
        <v>4500</v>
      </c>
      <c r="F566" s="27">
        <f>E566/Config!$B$1</f>
        <v/>
      </c>
      <c r="G566" s="28" t="inlineStr">
        <is>
          <t>Estimado (mediana de categoría)</t>
        </is>
      </c>
    </row>
    <row r="567" ht="15" customHeight="1" s="19">
      <c r="A567" s="24" t="n">
        <v>6200</v>
      </c>
      <c r="B567" s="25" t="inlineStr">
        <is>
          <t>Optimización de Estrategias Financieras</t>
        </is>
      </c>
      <c r="C567" s="24" t="inlineStr">
        <is>
          <t>Business Intelligence</t>
        </is>
      </c>
      <c r="D567" s="25" t="inlineStr">
        <is>
          <t>Optimización De Finanzas</t>
        </is>
      </c>
      <c r="E567" s="26" t="n">
        <v>250</v>
      </c>
      <c r="F567" s="27">
        <f>E567/Config!$B$1</f>
        <v/>
      </c>
      <c r="G567" s="24" t="inlineStr">
        <is>
          <t>Real</t>
        </is>
      </c>
    </row>
    <row r="568" ht="15" customHeight="1" s="19">
      <c r="A568" s="24" t="n">
        <v>7924</v>
      </c>
      <c r="B568" s="25" t="inlineStr">
        <is>
          <t>Optimización de Estrategias Financieras</t>
        </is>
      </c>
      <c r="C568" s="24" t="inlineStr">
        <is>
          <t>Business Intelligence</t>
        </is>
      </c>
      <c r="D568" s="25" t="inlineStr">
        <is>
          <t>Optimización De Finanzas</t>
        </is>
      </c>
      <c r="E568" s="26" t="n">
        <v>4500</v>
      </c>
      <c r="F568" s="27">
        <f>E568/Config!$B$1</f>
        <v/>
      </c>
      <c r="G568" s="28" t="inlineStr">
        <is>
          <t>Estimado (mediana de categoría)</t>
        </is>
      </c>
    </row>
    <row r="569" ht="15" customHeight="1" s="19">
      <c r="A569" s="24" t="n">
        <v>6203</v>
      </c>
      <c r="B569" s="25" t="inlineStr">
        <is>
          <t>Optimización de Estrategias de Negocios</t>
        </is>
      </c>
      <c r="C569" s="24" t="inlineStr">
        <is>
          <t>Business Intelligence</t>
        </is>
      </c>
      <c r="D569" s="25" t="inlineStr">
        <is>
          <t>Optimización De Negocios</t>
        </is>
      </c>
      <c r="E569" s="26" t="n">
        <v>240</v>
      </c>
      <c r="F569" s="27">
        <f>E569/Config!$B$1</f>
        <v/>
      </c>
      <c r="G569" s="24" t="inlineStr">
        <is>
          <t>Real</t>
        </is>
      </c>
    </row>
    <row r="570" ht="15" customHeight="1" s="19">
      <c r="A570" s="24" t="n">
        <v>7927</v>
      </c>
      <c r="B570" s="25" t="inlineStr">
        <is>
          <t>Optimización de Estrategias de Negocios</t>
        </is>
      </c>
      <c r="C570" s="24" t="inlineStr">
        <is>
          <t>Business Intelligence</t>
        </is>
      </c>
      <c r="D570" s="25" t="inlineStr">
        <is>
          <t>Optimización De Negocios</t>
        </is>
      </c>
      <c r="E570" s="26" t="n">
        <v>4500</v>
      </c>
      <c r="F570" s="27">
        <f>E570/Config!$B$1</f>
        <v/>
      </c>
      <c r="G570" s="28" t="inlineStr">
        <is>
          <t>Estimado (mediana de categoría)</t>
        </is>
      </c>
    </row>
    <row r="571" ht="15" customHeight="1" s="19">
      <c r="A571" s="24" t="n">
        <v>5915</v>
      </c>
      <c r="B571" s="25" t="inlineStr">
        <is>
          <t>Optimización de Estrategias de Precios</t>
        </is>
      </c>
      <c r="C571" s="24" t="inlineStr">
        <is>
          <t>Business Intelligence</t>
        </is>
      </c>
      <c r="D571" s="25" t="inlineStr">
        <is>
          <t>Optimización De Precios</t>
        </is>
      </c>
      <c r="E571" s="26" t="n">
        <v>6000</v>
      </c>
      <c r="F571" s="27">
        <f>E571/Config!$B$1</f>
        <v/>
      </c>
      <c r="G571" s="24" t="inlineStr">
        <is>
          <t>Real</t>
        </is>
      </c>
    </row>
    <row r="572" ht="15" customHeight="1" s="19">
      <c r="A572" s="24" t="n">
        <v>7697</v>
      </c>
      <c r="B572" s="25" t="inlineStr">
        <is>
          <t>Optimización de Estrategias de Precios</t>
        </is>
      </c>
      <c r="C572" s="24" t="inlineStr">
        <is>
          <t>Business Intelligence</t>
        </is>
      </c>
      <c r="D572" s="25" t="inlineStr">
        <is>
          <t>Optimización De Precios</t>
        </is>
      </c>
      <c r="E572" s="26" t="n">
        <v>4500</v>
      </c>
      <c r="F572" s="27">
        <f>E572/Config!$B$1</f>
        <v/>
      </c>
      <c r="G572" s="28" t="inlineStr">
        <is>
          <t>Estimado (mediana de categoría)</t>
        </is>
      </c>
    </row>
    <row r="573" ht="15" customHeight="1" s="19">
      <c r="A573" s="24" t="n">
        <v>7931</v>
      </c>
      <c r="B573" s="25" t="inlineStr">
        <is>
          <t>Optimización de Estrategias de Recursos</t>
        </is>
      </c>
      <c r="C573" s="24" t="inlineStr">
        <is>
          <t>Business Intelligence</t>
        </is>
      </c>
      <c r="D573" s="25" t="inlineStr">
        <is>
          <t>Optimización De Recursos</t>
        </is>
      </c>
      <c r="E573" s="26" t="n">
        <v>4500</v>
      </c>
      <c r="F573" s="27">
        <f>E573/Config!$B$1</f>
        <v/>
      </c>
      <c r="G573" s="28" t="inlineStr">
        <is>
          <t>Estimado (mediana de categoría)</t>
        </is>
      </c>
    </row>
    <row r="574" ht="15" customHeight="1" s="19">
      <c r="A574" s="24" t="n">
        <v>6205</v>
      </c>
      <c r="B574" s="25" t="inlineStr">
        <is>
          <t>Optimización de Proyectos Empresariales</t>
        </is>
      </c>
      <c r="C574" s="24" t="inlineStr">
        <is>
          <t>Business Intelligence</t>
        </is>
      </c>
      <c r="D574" s="25" t="inlineStr">
        <is>
          <t>Optimización De Proyectos</t>
        </is>
      </c>
      <c r="E574" s="26" t="n">
        <v>250</v>
      </c>
      <c r="F574" s="27">
        <f>E574/Config!$B$1</f>
        <v/>
      </c>
      <c r="G574" s="24" t="inlineStr">
        <is>
          <t>Real</t>
        </is>
      </c>
    </row>
    <row r="575" ht="15" customHeight="1" s="19">
      <c r="A575" s="24" t="n">
        <v>7929</v>
      </c>
      <c r="B575" s="25" t="inlineStr">
        <is>
          <t>Optimización de Proyectos Empresariales</t>
        </is>
      </c>
      <c r="C575" s="24" t="inlineStr">
        <is>
          <t>Business Intelligence</t>
        </is>
      </c>
      <c r="D575" s="25" t="inlineStr">
        <is>
          <t>Optimización De Proyectos</t>
        </is>
      </c>
      <c r="E575" s="26" t="n">
        <v>4500</v>
      </c>
      <c r="F575" s="27">
        <f>E575/Config!$B$1</f>
        <v/>
      </c>
      <c r="G575" s="28" t="inlineStr">
        <is>
          <t>Estimado (mediana de categoría)</t>
        </is>
      </c>
    </row>
    <row r="576" ht="15" customHeight="1" s="19">
      <c r="A576" s="24" t="n">
        <v>6048</v>
      </c>
      <c r="B576" s="25" t="inlineStr">
        <is>
          <t>Optimización de procesos</t>
        </is>
      </c>
      <c r="C576" s="24" t="inlineStr">
        <is>
          <t>Business Intelligence</t>
        </is>
      </c>
      <c r="D576" s="25" t="inlineStr">
        <is>
          <t>Bpo</t>
        </is>
      </c>
      <c r="E576" s="26" t="n">
        <v>4500</v>
      </c>
      <c r="F576" s="27">
        <f>E576/Config!$B$1</f>
        <v/>
      </c>
      <c r="G576" s="28" t="inlineStr">
        <is>
          <t>Estimado (mediana de categoría)</t>
        </is>
      </c>
    </row>
    <row r="577" ht="34.5" customHeight="1" s="19">
      <c r="A577" s="24" t="n">
        <v>7534</v>
      </c>
      <c r="B577" s="25" t="inlineStr">
        <is>
          <t>Personalización de Informes: Crea Reportes a Medida para tus Necesidades</t>
        </is>
      </c>
      <c r="C577" s="24" t="inlineStr">
        <is>
          <t>Business Intelligence</t>
        </is>
      </c>
      <c r="D577" s="25" t="inlineStr">
        <is>
          <t>Personalización de Informes: Crea informes personalizados para una toma de decisiones informada.</t>
        </is>
      </c>
      <c r="E577" s="26" t="n">
        <v>500</v>
      </c>
      <c r="F577" s="27">
        <f>E577/Config!$B$1</f>
        <v/>
      </c>
      <c r="G577" s="24" t="inlineStr">
        <is>
          <t>Real</t>
        </is>
      </c>
    </row>
    <row r="578" ht="23.25" customHeight="1" s="19">
      <c r="A578" s="24" t="n">
        <v>7510</v>
      </c>
      <c r="B578" s="25" t="inlineStr">
        <is>
          <t>Personalización de Reportes: Crea Informes a Medida para Tus Necesidades</t>
        </is>
      </c>
      <c r="C578" s="24" t="inlineStr">
        <is>
          <t>Business Intelligence</t>
        </is>
      </c>
      <c r="D578" s="25" t="inlineStr">
        <is>
          <t>Personalización de Reportes: Crea reportes a medida para una toma de decisiones informada.</t>
        </is>
      </c>
      <c r="E578" s="26" t="n">
        <v>4500</v>
      </c>
      <c r="F578" s="27">
        <f>E578/Config!$B$1</f>
        <v/>
      </c>
      <c r="G578" s="28" t="inlineStr">
        <is>
          <t>Estimado (mediana de categoría)</t>
        </is>
      </c>
    </row>
    <row r="579" ht="15" customHeight="1" s="19">
      <c r="A579" s="24" t="n">
        <v>6296</v>
      </c>
      <c r="B579" s="25" t="inlineStr">
        <is>
          <t>Planificación Financiera con IA</t>
        </is>
      </c>
      <c r="C579" s="24" t="inlineStr">
        <is>
          <t>Business Intelligence</t>
        </is>
      </c>
      <c r="D579" s="25" t="inlineStr">
        <is>
          <t>Solución De Planificación Financiera Con Ia</t>
        </is>
      </c>
      <c r="E579" s="26" t="n">
        <v>249</v>
      </c>
      <c r="F579" s="27">
        <f>E579/Config!$B$1</f>
        <v/>
      </c>
      <c r="G579" s="24" t="inlineStr">
        <is>
          <t>Real</t>
        </is>
      </c>
    </row>
    <row r="580" ht="15" customHeight="1" s="19">
      <c r="A580" s="24" t="n">
        <v>8009</v>
      </c>
      <c r="B580" s="25" t="inlineStr">
        <is>
          <t>Planificación Financiera con IA</t>
        </is>
      </c>
      <c r="C580" s="24" t="inlineStr">
        <is>
          <t>Business Intelligence</t>
        </is>
      </c>
      <c r="D580" s="25" t="inlineStr">
        <is>
          <t>Solución De Planificación Financiera Con Ia</t>
        </is>
      </c>
      <c r="E580" s="26" t="n">
        <v>4500</v>
      </c>
      <c r="F580" s="27">
        <f>E580/Config!$B$1</f>
        <v/>
      </c>
      <c r="G580" s="28" t="inlineStr">
        <is>
          <t>Estimado (mediana de categoría)</t>
        </is>
      </c>
    </row>
    <row r="581" ht="23.25" customHeight="1" s="19">
      <c r="A581" s="24" t="n">
        <v>6319</v>
      </c>
      <c r="B581" s="25" t="inlineStr">
        <is>
          <t>Planificación estratégica</t>
        </is>
      </c>
      <c r="C581" s="24" t="inlineStr">
        <is>
          <t>Business Intelligence</t>
        </is>
      </c>
      <c r="D581" s="25" t="inlineStr">
        <is>
          <t>Consultoría En Planificación Estratégica Para Empresas.</t>
        </is>
      </c>
      <c r="E581" s="26" t="n">
        <v>2700</v>
      </c>
      <c r="F581" s="27">
        <f>E581/Config!$B$1</f>
        <v/>
      </c>
      <c r="G581" s="24" t="inlineStr">
        <is>
          <t>Real</t>
        </is>
      </c>
    </row>
    <row r="582" ht="15" customHeight="1" s="19">
      <c r="A582" s="24" t="n">
        <v>6245</v>
      </c>
      <c r="B582" s="25" t="inlineStr">
        <is>
          <t>Plataforma de Analítica Web</t>
        </is>
      </c>
      <c r="C582" s="24" t="inlineStr">
        <is>
          <t>Business Intelligence</t>
        </is>
      </c>
      <c r="D582" s="25" t="inlineStr">
        <is>
          <t>Análisis Del Comportamiento Web</t>
        </is>
      </c>
      <c r="E582" s="26" t="n">
        <v>230</v>
      </c>
      <c r="F582" s="27">
        <f>E582/Config!$B$1</f>
        <v/>
      </c>
      <c r="G582" s="24" t="inlineStr">
        <is>
          <t>Real</t>
        </is>
      </c>
    </row>
    <row r="583" ht="15" customHeight="1" s="19">
      <c r="A583" s="24" t="n">
        <v>7969</v>
      </c>
      <c r="B583" s="25" t="inlineStr">
        <is>
          <t>Plataforma de Analítica Web</t>
        </is>
      </c>
      <c r="C583" s="24" t="inlineStr">
        <is>
          <t>Business Intelligence</t>
        </is>
      </c>
      <c r="D583" s="25" t="inlineStr">
        <is>
          <t>Análisis Del Comportamiento Web</t>
        </is>
      </c>
      <c r="E583" s="26" t="n">
        <v>4500</v>
      </c>
      <c r="F583" s="27">
        <f>E583/Config!$B$1</f>
        <v/>
      </c>
      <c r="G583" s="28" t="inlineStr">
        <is>
          <t>Estimado (mediana de categoría)</t>
        </is>
      </c>
    </row>
    <row r="584" ht="15" customHeight="1" s="19">
      <c r="A584" s="24" t="n">
        <v>6232</v>
      </c>
      <c r="B584" s="25" t="inlineStr">
        <is>
          <t>Plataforma de Analítica de Clientes</t>
        </is>
      </c>
      <c r="C584" s="24" t="inlineStr">
        <is>
          <t>Business Intelligence</t>
        </is>
      </c>
      <c r="D584" s="25" t="inlineStr">
        <is>
          <t>Análisis De Datos De Clientes</t>
        </is>
      </c>
      <c r="E584" s="26" t="n">
        <v>1500</v>
      </c>
      <c r="F584" s="27">
        <f>E584/Config!$B$1</f>
        <v/>
      </c>
      <c r="G584" s="24" t="inlineStr">
        <is>
          <t>Real</t>
        </is>
      </c>
    </row>
    <row r="585" ht="15" customHeight="1" s="19">
      <c r="A585" s="24" t="n">
        <v>7956</v>
      </c>
      <c r="B585" s="25" t="inlineStr">
        <is>
          <t>Plataforma de Analítica de Clientes</t>
        </is>
      </c>
      <c r="C585" s="24" t="inlineStr">
        <is>
          <t>Business Intelligence</t>
        </is>
      </c>
      <c r="D585" s="25" t="inlineStr">
        <is>
          <t>Análisis De Datos De Clientes</t>
        </is>
      </c>
      <c r="E585" s="26" t="n">
        <v>4500</v>
      </c>
      <c r="F585" s="27">
        <f>E585/Config!$B$1</f>
        <v/>
      </c>
      <c r="G585" s="28" t="inlineStr">
        <is>
          <t>Estimado (mediana de categoría)</t>
        </is>
      </c>
    </row>
    <row r="586" ht="15" customHeight="1" s="19">
      <c r="A586" s="24" t="n">
        <v>6247</v>
      </c>
      <c r="B586" s="25" t="inlineStr">
        <is>
          <t>Plataforma de Análisis de Datos Financieros</t>
        </is>
      </c>
      <c r="C586" s="24" t="inlineStr">
        <is>
          <t>Business Intelligence</t>
        </is>
      </c>
      <c r="D586" s="25" t="inlineStr">
        <is>
          <t>Análisis De Datos Financieros</t>
        </is>
      </c>
      <c r="E586" s="26" t="n">
        <v>420</v>
      </c>
      <c r="F586" s="27">
        <f>E586/Config!$B$1</f>
        <v/>
      </c>
      <c r="G586" s="24" t="inlineStr">
        <is>
          <t>Real</t>
        </is>
      </c>
    </row>
    <row r="587" ht="15" customHeight="1" s="19">
      <c r="A587" s="24" t="n">
        <v>7971</v>
      </c>
      <c r="B587" s="25" t="inlineStr">
        <is>
          <t>Plataforma de Análisis de Datos Financieros</t>
        </is>
      </c>
      <c r="C587" s="24" t="inlineStr">
        <is>
          <t>Business Intelligence</t>
        </is>
      </c>
      <c r="D587" s="25" t="inlineStr">
        <is>
          <t>Análisis De Datos Financieros</t>
        </is>
      </c>
      <c r="E587" s="26" t="n">
        <v>4500</v>
      </c>
      <c r="F587" s="27">
        <f>E587/Config!$B$1</f>
        <v/>
      </c>
      <c r="G587" s="28" t="inlineStr">
        <is>
          <t>Estimado (mediana de categoría)</t>
        </is>
      </c>
    </row>
    <row r="588" ht="15" customHeight="1" s="19">
      <c r="A588" s="24" t="n">
        <v>6249</v>
      </c>
      <c r="B588" s="25" t="inlineStr">
        <is>
          <t>Plataforma de Análisis de Datos de Clientes</t>
        </is>
      </c>
      <c r="C588" s="24" t="inlineStr">
        <is>
          <t>Business Intelligence</t>
        </is>
      </c>
      <c r="D588" s="25" t="inlineStr">
        <is>
          <t>Análisis De Datos De Clientes</t>
        </is>
      </c>
      <c r="E588" s="26" t="n">
        <v>320</v>
      </c>
      <c r="F588" s="27">
        <f>E588/Config!$B$1</f>
        <v/>
      </c>
      <c r="G588" s="24" t="inlineStr">
        <is>
          <t>Real</t>
        </is>
      </c>
    </row>
    <row r="589" ht="15" customHeight="1" s="19">
      <c r="A589" s="24" t="n">
        <v>7973</v>
      </c>
      <c r="B589" s="25" t="inlineStr">
        <is>
          <t>Plataforma de Análisis de Datos de Clientes</t>
        </is>
      </c>
      <c r="C589" s="24" t="inlineStr">
        <is>
          <t>Business Intelligence</t>
        </is>
      </c>
      <c r="D589" s="25" t="inlineStr">
        <is>
          <t>Análisis De Datos De Clientes</t>
        </is>
      </c>
      <c r="E589" s="26" t="n">
        <v>4500</v>
      </c>
      <c r="F589" s="27">
        <f>E589/Config!$B$1</f>
        <v/>
      </c>
      <c r="G589" s="28" t="inlineStr">
        <is>
          <t>Estimado (mediana de categoría)</t>
        </is>
      </c>
    </row>
    <row r="590" ht="15" customHeight="1" s="19">
      <c r="A590" s="24" t="n">
        <v>6248</v>
      </c>
      <c r="B590" s="25" t="inlineStr">
        <is>
          <t>Plataforma de Business Intelligence (BI)</t>
        </is>
      </c>
      <c r="C590" s="24" t="inlineStr">
        <is>
          <t>Business Intelligence</t>
        </is>
      </c>
      <c r="D590" s="25" t="inlineStr">
        <is>
          <t>Herramientas Avanzadas De Bi</t>
        </is>
      </c>
      <c r="E590" s="26" t="n">
        <v>450</v>
      </c>
      <c r="F590" s="27">
        <f>E590/Config!$B$1</f>
        <v/>
      </c>
      <c r="G590" s="24" t="inlineStr">
        <is>
          <t>Real</t>
        </is>
      </c>
    </row>
    <row r="591" ht="15" customHeight="1" s="19">
      <c r="A591" s="24" t="n">
        <v>7972</v>
      </c>
      <c r="B591" s="25" t="inlineStr">
        <is>
          <t>Plataforma de Business Intelligence (BI)</t>
        </is>
      </c>
      <c r="C591" s="24" t="inlineStr">
        <is>
          <t>Business Intelligence</t>
        </is>
      </c>
      <c r="D591" s="25" t="inlineStr">
        <is>
          <t>Herramientas Avanzadas De Bi</t>
        </is>
      </c>
      <c r="E591" s="26" t="n">
        <v>4500</v>
      </c>
      <c r="F591" s="27">
        <f>E591/Config!$B$1</f>
        <v/>
      </c>
      <c r="G591" s="28" t="inlineStr">
        <is>
          <t>Estimado (mediana de categoría)</t>
        </is>
      </c>
    </row>
    <row r="592" ht="15" customHeight="1" s="19">
      <c r="A592" s="24" t="n">
        <v>6453</v>
      </c>
      <c r="B592" s="25" t="inlineStr">
        <is>
          <t>Redacción de informes</t>
        </is>
      </c>
      <c r="C592" s="24" t="inlineStr">
        <is>
          <t>Business Intelligence</t>
        </is>
      </c>
      <c r="D592" s="25" t="inlineStr">
        <is>
          <t>Servicio De Redacción Profesional De Informes.</t>
        </is>
      </c>
      <c r="E592" s="26" t="n">
        <v>80</v>
      </c>
      <c r="F592" s="27">
        <f>E592/Config!$B$1</f>
        <v/>
      </c>
      <c r="G592" s="24" t="inlineStr">
        <is>
          <t>Real</t>
        </is>
      </c>
    </row>
    <row r="593" ht="15" customHeight="1" s="19">
      <c r="A593" s="24" t="n">
        <v>7442</v>
      </c>
      <c r="B593" s="25" t="inlineStr">
        <is>
          <t>Reportes Detallados</t>
        </is>
      </c>
      <c r="C593" s="24" t="inlineStr">
        <is>
          <t>Business Intelligence</t>
        </is>
      </c>
      <c r="D593" s="25" t="n"/>
      <c r="E593" s="26" t="n">
        <v>4500</v>
      </c>
      <c r="F593" s="27">
        <f>E593/Config!$B$1</f>
        <v/>
      </c>
      <c r="G593" s="28" t="inlineStr">
        <is>
          <t>Estimado (mediana de categoría)</t>
        </is>
      </c>
    </row>
    <row r="594" ht="15" customHeight="1" s="19">
      <c r="A594" s="24" t="n">
        <v>7422</v>
      </c>
      <c r="B594" s="25" t="inlineStr">
        <is>
          <t>Reportes Operativos</t>
        </is>
      </c>
      <c r="C594" s="24" t="inlineStr">
        <is>
          <t>Business Intelligence</t>
        </is>
      </c>
      <c r="D594" s="25" t="n"/>
      <c r="E594" s="26" t="n">
        <v>4500</v>
      </c>
      <c r="F594" s="27">
        <f>E594/Config!$B$1</f>
        <v/>
      </c>
      <c r="G594" s="28" t="inlineStr">
        <is>
          <t>Estimado (mediana de categoría)</t>
        </is>
      </c>
    </row>
    <row r="595" ht="15" customHeight="1" s="19">
      <c r="A595" s="24" t="n">
        <v>7445</v>
      </c>
      <c r="B595" s="25" t="inlineStr">
        <is>
          <t>Reportes Personalizados</t>
        </is>
      </c>
      <c r="C595" s="24" t="inlineStr">
        <is>
          <t>Business Intelligence</t>
        </is>
      </c>
      <c r="D595" s="25" t="n"/>
      <c r="E595" s="26" t="n">
        <v>4500</v>
      </c>
      <c r="F595" s="27">
        <f>E595/Config!$B$1</f>
        <v/>
      </c>
      <c r="G595" s="28" t="inlineStr">
        <is>
          <t>Estimado (mediana de categoría)</t>
        </is>
      </c>
    </row>
    <row r="596" ht="15" customHeight="1" s="19">
      <c r="A596" s="24" t="n">
        <v>7427</v>
      </c>
      <c r="B596" s="25" t="inlineStr">
        <is>
          <t>Reportes de Producción</t>
        </is>
      </c>
      <c r="C596" s="24" t="inlineStr">
        <is>
          <t>Business Intelligence</t>
        </is>
      </c>
      <c r="D596" s="25" t="n"/>
      <c r="E596" s="26" t="n">
        <v>4500</v>
      </c>
      <c r="F596" s="27">
        <f>E596/Config!$B$1</f>
        <v/>
      </c>
      <c r="G596" s="28" t="inlineStr">
        <is>
          <t>Estimado (mediana de categoría)</t>
        </is>
      </c>
    </row>
    <row r="597" ht="15" customHeight="1" s="19">
      <c r="A597" s="24" t="n">
        <v>7437</v>
      </c>
      <c r="B597" s="25" t="inlineStr">
        <is>
          <t>Reportes de Proyectos</t>
        </is>
      </c>
      <c r="C597" s="24" t="inlineStr">
        <is>
          <t>Business Intelligence</t>
        </is>
      </c>
      <c r="D597" s="25" t="n"/>
      <c r="E597" s="26" t="n">
        <v>4500</v>
      </c>
      <c r="F597" s="27">
        <f>E597/Config!$B$1</f>
        <v/>
      </c>
      <c r="G597" s="28" t="inlineStr">
        <is>
          <t>Estimado (mediana de categoría)</t>
        </is>
      </c>
    </row>
    <row r="598" ht="15" customHeight="1" s="19">
      <c r="A598" s="24" t="n">
        <v>7417</v>
      </c>
      <c r="B598" s="25" t="inlineStr">
        <is>
          <t>Reportes de Ventas</t>
        </is>
      </c>
      <c r="C598" s="24" t="inlineStr">
        <is>
          <t>Business Intelligence</t>
        </is>
      </c>
      <c r="D598" s="25" t="n"/>
      <c r="E598" s="26" t="n">
        <v>4500</v>
      </c>
      <c r="F598" s="27">
        <f>E598/Config!$B$1</f>
        <v/>
      </c>
      <c r="G598" s="28" t="inlineStr">
        <is>
          <t>Estimado (mediana de categoría)</t>
        </is>
      </c>
    </row>
    <row r="599" ht="15" customHeight="1" s="19">
      <c r="A599" s="24" t="n">
        <v>7432</v>
      </c>
      <c r="B599" s="25" t="inlineStr">
        <is>
          <t>Reportes de Ventas y Logística</t>
        </is>
      </c>
      <c r="C599" s="24" t="inlineStr">
        <is>
          <t>Business Intelligence</t>
        </is>
      </c>
      <c r="D599" s="25" t="n"/>
      <c r="E599" s="26" t="n">
        <v>4500</v>
      </c>
      <c r="F599" s="27">
        <f>E599/Config!$B$1</f>
        <v/>
      </c>
      <c r="G599" s="28" t="inlineStr">
        <is>
          <t>Estimado (mediana de categoría)</t>
        </is>
      </c>
    </row>
    <row r="600" ht="34.5" customHeight="1" s="19">
      <c r="A600" s="24" t="n">
        <v>7530</v>
      </c>
      <c r="B600" s="25" t="inlineStr">
        <is>
          <t>Revisión y Optimización de Procesos: Mejora la Eficiencia y Reduce Costos</t>
        </is>
      </c>
      <c r="C600" s="24" t="inlineStr">
        <is>
          <t>Business Intelligence</t>
        </is>
      </c>
      <c r="D600" s="25" t="inlineStr">
        <is>
          <t>Revisión y Optimización de Procesos: Identifica y elimina cuellos de botella, mejora la productividad y reduce costos.</t>
        </is>
      </c>
      <c r="E600" s="26" t="n">
        <v>600</v>
      </c>
      <c r="F600" s="27">
        <f>E600/Config!$B$1</f>
        <v/>
      </c>
      <c r="G600" s="24" t="inlineStr">
        <is>
          <t>Real</t>
        </is>
      </c>
    </row>
    <row r="601" ht="45.75" customHeight="1" s="19">
      <c r="A601" s="24" t="n">
        <v>8256</v>
      </c>
      <c r="B601" s="25" t="inlineStr">
        <is>
          <t>Servicio de Analítica Web: Optimiza tu E-commerce con Datos Valiosos</t>
        </is>
      </c>
      <c r="C601" s="24" t="inlineStr">
        <is>
          <t>Business Intelligence</t>
        </is>
      </c>
      <c r="D601" s="25" t="inlineStr">
        <is>
          <t>Servicio de analítica web para e-commerce que brinda datos valiosos para optimizar la experiencia del usuario, aumentar las conversiones, reducir costos y obtener una ventaja competitiva.</t>
        </is>
      </c>
      <c r="E601" s="26" t="n">
        <v>4500</v>
      </c>
      <c r="F601" s="27">
        <f>E601/Config!$B$1</f>
        <v/>
      </c>
      <c r="G601" s="28" t="inlineStr">
        <is>
          <t>Estimado (mediana de categoría)</t>
        </is>
      </c>
    </row>
    <row r="602" ht="23.25" customHeight="1" s="19">
      <c r="A602" s="24" t="n">
        <v>6554</v>
      </c>
      <c r="B602" s="25" t="inlineStr">
        <is>
          <t>Servicio de Analítica Web: Optimiza tu Ecommerce con Datos Valiosos</t>
        </is>
      </c>
      <c r="C602" s="24" t="inlineStr">
        <is>
          <t>Business Intelligence</t>
        </is>
      </c>
      <c r="D602" s="25" t="inlineStr">
        <is>
          <t>Servicio de implementación de analítica web para e-commerce</t>
        </is>
      </c>
      <c r="E602" s="26" t="n">
        <v>1200</v>
      </c>
      <c r="F602" s="27">
        <f>E602/Config!$B$1</f>
        <v/>
      </c>
      <c r="G602" s="24" t="inlineStr">
        <is>
          <t>Real</t>
        </is>
      </c>
    </row>
    <row r="603" ht="45.75" customHeight="1" s="19">
      <c r="A603" s="24" t="n">
        <v>6568</v>
      </c>
      <c r="B603" s="25" t="inlineStr">
        <is>
          <t>Servicio de Análisis de Datos de Ecommerce: Optimiza tu Tienda Online con Insights Valiosos</t>
        </is>
      </c>
      <c r="C603" s="24" t="inlineStr">
        <is>
          <t>Business Intelligence</t>
        </is>
      </c>
      <c r="D603" s="25" t="inlineStr">
        <is>
          <t>Servicio de Análisis de Datos de Ecommerce: Optimiza tu estrategia de negocio online con métricas esenciales, análisis de cohortes, segmentación avanzada y más.</t>
        </is>
      </c>
      <c r="E603" s="26" t="n">
        <v>2500</v>
      </c>
      <c r="F603" s="27">
        <f>E603/Config!$B$1</f>
        <v/>
      </c>
      <c r="G603" s="24" t="inlineStr">
        <is>
          <t>Real</t>
        </is>
      </c>
    </row>
    <row r="604" ht="23.25" customHeight="1" s="19">
      <c r="A604" s="24" t="n">
        <v>6578</v>
      </c>
      <c r="B604" s="25" t="inlineStr">
        <is>
          <t>Servicio de Implementación de Herramientas de Analítica y Optimización</t>
        </is>
      </c>
      <c r="C604" s="24" t="inlineStr">
        <is>
          <t>Business Intelligence</t>
        </is>
      </c>
      <c r="D604" s="25" t="inlineStr">
        <is>
          <t>Servicio De Implementación De Herramientas De Analítica Y Optimización Para Ecommerce.</t>
        </is>
      </c>
      <c r="E604" s="26" t="n">
        <v>2500</v>
      </c>
      <c r="F604" s="27">
        <f>E604/Config!$B$1</f>
        <v/>
      </c>
      <c r="G604" s="24" t="inlineStr">
        <is>
          <t>Real</t>
        </is>
      </c>
    </row>
    <row r="605" ht="15" customHeight="1" s="19">
      <c r="A605" s="24" t="n">
        <v>6695</v>
      </c>
      <c r="B605" s="25" t="inlineStr">
        <is>
          <t>Servicios de Analítica Avanzada Ecommerce</t>
        </is>
      </c>
      <c r="C605" s="24" t="inlineStr">
        <is>
          <t>Business Intelligence</t>
        </is>
      </c>
      <c r="D605" s="25" t="inlineStr">
        <is>
          <t>Soluciones De Analítica Avanzada Para Ecommerce.</t>
        </is>
      </c>
      <c r="E605" s="26" t="n">
        <v>2000</v>
      </c>
      <c r="F605" s="27">
        <f>E605/Config!$B$1</f>
        <v/>
      </c>
      <c r="G605" s="24" t="inlineStr">
        <is>
          <t>Real</t>
        </is>
      </c>
    </row>
    <row r="606" ht="23.25" customHeight="1" s="19">
      <c r="A606" s="24" t="n">
        <v>8396</v>
      </c>
      <c r="B606" s="25" t="inlineStr">
        <is>
          <t>Servicios de Analítica Avanzada para Ecommerce: Impulsa tu Crecimiento con Datos</t>
        </is>
      </c>
      <c r="C606" s="24" t="inlineStr">
        <is>
          <t>Business Intelligence</t>
        </is>
      </c>
      <c r="D606" s="25" t="inlineStr">
        <is>
          <t>Servicios de Analítica Avanzada para Ecommerce: Impulsa tu Crecimiento con Datos</t>
        </is>
      </c>
      <c r="E606" s="26" t="n">
        <v>4500</v>
      </c>
      <c r="F606" s="27">
        <f>E606/Config!$B$1</f>
        <v/>
      </c>
      <c r="G606" s="28" t="inlineStr">
        <is>
          <t>Estimado (mediana de categoría)</t>
        </is>
      </c>
    </row>
    <row r="607" ht="15" customHeight="1" s="19">
      <c r="A607" s="24" t="n">
        <v>6681</v>
      </c>
      <c r="B607" s="25" t="inlineStr">
        <is>
          <t>Servicios de Analítica Ecommerce</t>
        </is>
      </c>
      <c r="C607" s="24" t="inlineStr">
        <is>
          <t>Business Intelligence</t>
        </is>
      </c>
      <c r="D607" s="25" t="inlineStr">
        <is>
          <t>Soluciones De Analítica Para Ecommerce.</t>
        </is>
      </c>
      <c r="E607" s="26" t="n">
        <v>1000</v>
      </c>
      <c r="F607" s="27">
        <f>E607/Config!$B$1</f>
        <v/>
      </c>
      <c r="G607" s="24" t="inlineStr">
        <is>
          <t>Real</t>
        </is>
      </c>
    </row>
    <row r="608" ht="23.25" customHeight="1" s="19">
      <c r="A608" s="24" t="n">
        <v>8382</v>
      </c>
      <c r="B608" s="25" t="inlineStr">
        <is>
          <t>Servicios de Analítica Ecommerce: Optimiza tu Tienda Virtual con Datos y KPIs Clave</t>
        </is>
      </c>
      <c r="C608" s="24" t="inlineStr">
        <is>
          <t>Business Intelligence</t>
        </is>
      </c>
      <c r="D608" s="25" t="inlineStr">
        <is>
          <t>Servicios de Analítica para Ecommerce: Impulsa tu Negocio Online</t>
        </is>
      </c>
      <c r="E608" s="26" t="n">
        <v>4500</v>
      </c>
      <c r="F608" s="27">
        <f>E608/Config!$B$1</f>
        <v/>
      </c>
      <c r="G608" s="28" t="inlineStr">
        <is>
          <t>Estimado (mediana de categoría)</t>
        </is>
      </c>
    </row>
    <row r="609" ht="23.25" customHeight="1" s="19">
      <c r="A609" s="24" t="n">
        <v>6701</v>
      </c>
      <c r="B609" s="25" t="inlineStr">
        <is>
          <t>Servicios de Analítica y Optimización para Ecommerce: Impulsa tu Tienda Virtual</t>
        </is>
      </c>
      <c r="C609" s="24" t="inlineStr">
        <is>
          <t>Business Intelligence</t>
        </is>
      </c>
      <c r="D609" s="25" t="inlineStr">
        <is>
          <t>Servicios de Analítica y Optimización para Ecommerce</t>
        </is>
      </c>
      <c r="E609" s="26" t="n">
        <v>2000</v>
      </c>
      <c r="F609" s="27">
        <f>E609/Config!$B$1</f>
        <v/>
      </c>
      <c r="G609" s="24" t="inlineStr">
        <is>
          <t>Real</t>
        </is>
      </c>
    </row>
    <row r="610" ht="23.25" customHeight="1" s="19">
      <c r="A610" s="24" t="n">
        <v>8402</v>
      </c>
      <c r="B610" s="25" t="inlineStr">
        <is>
          <t>Servicios de Analítica y Optimización para Ecommerce: Impulsa tu Tienda Virtual</t>
        </is>
      </c>
      <c r="C610" s="24" t="inlineStr">
        <is>
          <t>Business Intelligence</t>
        </is>
      </c>
      <c r="D610" s="25" t="inlineStr">
        <is>
          <t>Servicios de Analítica y Optimización para Ecommerce: Impulsa tu Tienda Virtual</t>
        </is>
      </c>
      <c r="E610" s="26" t="n">
        <v>4500</v>
      </c>
      <c r="F610" s="27">
        <f>E610/Config!$B$1</f>
        <v/>
      </c>
      <c r="G610" s="28" t="inlineStr">
        <is>
          <t>Estimado (mediana de categoría)</t>
        </is>
      </c>
    </row>
    <row r="611" ht="15" customHeight="1" s="19">
      <c r="A611" s="24" t="n">
        <v>6690</v>
      </c>
      <c r="B611" s="25" t="inlineStr">
        <is>
          <t>Servicios de Análisis de Datos Ecommerce</t>
        </is>
      </c>
      <c r="C611" s="24" t="inlineStr">
        <is>
          <t>Business Intelligence</t>
        </is>
      </c>
      <c r="D611" s="25" t="inlineStr">
        <is>
          <t>Soluciones De Análisis De Datos Para Ecommerce.</t>
        </is>
      </c>
      <c r="E611" s="26" t="n">
        <v>2000</v>
      </c>
      <c r="F611" s="27">
        <f>E611/Config!$B$1</f>
        <v/>
      </c>
      <c r="G611" s="24" t="inlineStr">
        <is>
          <t>Real</t>
        </is>
      </c>
    </row>
    <row r="612" ht="23.25" customHeight="1" s="19">
      <c r="A612" s="24" t="n">
        <v>8391</v>
      </c>
      <c r="B612" s="25" t="inlineStr">
        <is>
          <t>Servicios de Análisis de Datos para Ecommerce: Optimiza tu Tienda Virtual con Datos</t>
        </is>
      </c>
      <c r="C612" s="24" t="inlineStr">
        <is>
          <t>Business Intelligence</t>
        </is>
      </c>
      <c r="D612" s="25" t="inlineStr">
        <is>
          <t>Servicios de Análisis de Datos para Ecommerce: Optimiza tu Tienda Virtual con Datos</t>
        </is>
      </c>
      <c r="E612" s="26" t="n">
        <v>4500</v>
      </c>
      <c r="F612" s="27">
        <f>E612/Config!$B$1</f>
        <v/>
      </c>
      <c r="G612" s="28" t="inlineStr">
        <is>
          <t>Estimado (mediana de categoría)</t>
        </is>
      </c>
    </row>
    <row r="613" ht="23.25" customHeight="1" s="19">
      <c r="A613" s="24" t="n">
        <v>5875</v>
      </c>
      <c r="B613" s="25" t="inlineStr">
        <is>
          <t>Servicios de Análisis de Sentimientos y Minería de Texto</t>
        </is>
      </c>
      <c r="C613" s="24" t="inlineStr">
        <is>
          <t>Business Intelligence</t>
        </is>
      </c>
      <c r="D613" s="25" t="inlineStr">
        <is>
          <t>Análisis De Sentimientos Y Texto.</t>
        </is>
      </c>
      <c r="E613" s="26" t="n">
        <v>5500</v>
      </c>
      <c r="F613" s="27">
        <f>E613/Config!$B$1</f>
        <v/>
      </c>
      <c r="G613" s="24" t="inlineStr">
        <is>
          <t>Real</t>
        </is>
      </c>
    </row>
    <row r="614" ht="23.25" customHeight="1" s="19">
      <c r="A614" s="24" t="n">
        <v>7657</v>
      </c>
      <c r="B614" s="25" t="inlineStr">
        <is>
          <t>Servicios de Análisis de Sentimientos y Minería de Texto</t>
        </is>
      </c>
      <c r="C614" s="24" t="inlineStr">
        <is>
          <t>Business Intelligence</t>
        </is>
      </c>
      <c r="D614" s="25" t="inlineStr">
        <is>
          <t>Análisis De Sentimientos Y Texto.</t>
        </is>
      </c>
      <c r="E614" s="26" t="n">
        <v>4500</v>
      </c>
      <c r="F614" s="27">
        <f>E614/Config!$B$1</f>
        <v/>
      </c>
      <c r="G614" s="28" t="inlineStr">
        <is>
          <t>Estimado (mediana de categoría)</t>
        </is>
      </c>
    </row>
    <row r="615" ht="15" customHeight="1" s="19">
      <c r="A615" s="24" t="n">
        <v>5865</v>
      </c>
      <c r="B615" s="25" t="inlineStr">
        <is>
          <t>Servicios de Big Data</t>
        </is>
      </c>
      <c r="C615" s="24" t="inlineStr">
        <is>
          <t>Business Intelligence</t>
        </is>
      </c>
      <c r="D615" s="25" t="inlineStr">
        <is>
          <t>Soluciones De Big Data</t>
        </is>
      </c>
      <c r="E615" s="26" t="n">
        <v>6000</v>
      </c>
      <c r="F615" s="27">
        <f>E615/Config!$B$1</f>
        <v/>
      </c>
      <c r="G615" s="24" t="inlineStr">
        <is>
          <t>Real</t>
        </is>
      </c>
    </row>
    <row r="616" ht="15" customHeight="1" s="19">
      <c r="A616" s="24" t="n">
        <v>7647</v>
      </c>
      <c r="B616" s="25" t="inlineStr">
        <is>
          <t>Servicios de Big Data</t>
        </is>
      </c>
      <c r="C616" s="24" t="inlineStr">
        <is>
          <t>Business Intelligence</t>
        </is>
      </c>
      <c r="D616" s="25" t="inlineStr">
        <is>
          <t>Soluciones De Big Data</t>
        </is>
      </c>
      <c r="E616" s="26" t="n">
        <v>4500</v>
      </c>
      <c r="F616" s="27">
        <f>E616/Config!$B$1</f>
        <v/>
      </c>
      <c r="G616" s="28" t="inlineStr">
        <is>
          <t>Estimado (mediana de categoría)</t>
        </is>
      </c>
    </row>
    <row r="617" ht="23.25" customHeight="1" s="19">
      <c r="A617" s="24" t="n">
        <v>6406</v>
      </c>
      <c r="B617" s="25" t="inlineStr">
        <is>
          <t>Servicios de análisis de big data y business intelligence</t>
        </is>
      </c>
      <c r="C617" s="24" t="inlineStr">
        <is>
          <t>Business Intelligence</t>
        </is>
      </c>
      <c r="D617" s="25" t="inlineStr">
        <is>
          <t>Servicios De Consultoría Y Desarrollo De Plataformas De Inteligencia De Negocios Y Analítica Avanzada.</t>
        </is>
      </c>
      <c r="E617" s="26" t="n">
        <v>22500</v>
      </c>
      <c r="F617" s="27">
        <f>E617/Config!$B$1</f>
        <v/>
      </c>
      <c r="G617" s="24" t="inlineStr">
        <is>
          <t>Real</t>
        </is>
      </c>
    </row>
    <row r="618" ht="23.25" customHeight="1" s="19">
      <c r="A618" s="24" t="n">
        <v>8117</v>
      </c>
      <c r="B618" s="25" t="inlineStr">
        <is>
          <t>Servicios de análisis de big data y business intelligence</t>
        </is>
      </c>
      <c r="C618" s="24" t="inlineStr">
        <is>
          <t>Business Intelligence</t>
        </is>
      </c>
      <c r="D618" s="25" t="inlineStr">
        <is>
          <t>Servicios De Consultoría Y Desarrollo De Plataformas De Inteligencia De Negocios Y Analítica Avanzada.</t>
        </is>
      </c>
      <c r="E618" s="26" t="n">
        <v>4500</v>
      </c>
      <c r="F618" s="27">
        <f>E618/Config!$B$1</f>
        <v/>
      </c>
      <c r="G618" s="28" t="inlineStr">
        <is>
          <t>Estimado (mediana de categoría)</t>
        </is>
      </c>
    </row>
    <row r="619" ht="23.25" customHeight="1" s="19">
      <c r="A619" s="24" t="n">
        <v>6347</v>
      </c>
      <c r="B619" s="25" t="inlineStr">
        <is>
          <t>Servicios de análisis de datos</t>
        </is>
      </c>
      <c r="C619" s="24" t="inlineStr">
        <is>
          <t>Business Intelligence</t>
        </is>
      </c>
      <c r="D619" s="25" t="inlineStr">
        <is>
          <t>Servicios De Consultoría Y Ejecución De Proyectos De Analítica De Datos.</t>
        </is>
      </c>
      <c r="E619" s="26" t="n">
        <v>7200</v>
      </c>
      <c r="F619" s="27">
        <f>E619/Config!$B$1</f>
        <v/>
      </c>
      <c r="G619" s="24" t="inlineStr">
        <is>
          <t>Real</t>
        </is>
      </c>
    </row>
    <row r="620" ht="23.25" customHeight="1" s="19">
      <c r="A620" s="24" t="n">
        <v>8058</v>
      </c>
      <c r="B620" s="25" t="inlineStr">
        <is>
          <t>Servicios de análisis de datos</t>
        </is>
      </c>
      <c r="C620" s="24" t="inlineStr">
        <is>
          <t>Business Intelligence</t>
        </is>
      </c>
      <c r="D620" s="25" t="inlineStr">
        <is>
          <t>Servicios De Consultoría Y Ejecución De Proyectos De Analítica De Datos.</t>
        </is>
      </c>
      <c r="E620" s="26" t="n">
        <v>4500</v>
      </c>
      <c r="F620" s="27">
        <f>E620/Config!$B$1</f>
        <v/>
      </c>
      <c r="G620" s="28" t="inlineStr">
        <is>
          <t>Estimado (mediana de categoría)</t>
        </is>
      </c>
    </row>
    <row r="621" ht="23.25" customHeight="1" s="19">
      <c r="A621" s="24" t="n">
        <v>6375</v>
      </c>
      <c r="B621" s="25" t="inlineStr">
        <is>
          <t>Servicios de análisis de datos y big data</t>
        </is>
      </c>
      <c r="C621" s="24" t="inlineStr">
        <is>
          <t>Business Intelligence</t>
        </is>
      </c>
      <c r="D621" s="25" t="inlineStr">
        <is>
          <t>Servicios De Consultoría Y Ejecución De Proyectos De Análisis De Datos Y Big Data Para Empresas.</t>
        </is>
      </c>
      <c r="E621" s="26" t="n">
        <v>16200</v>
      </c>
      <c r="F621" s="27">
        <f>E621/Config!$B$1</f>
        <v/>
      </c>
      <c r="G621" s="24" t="inlineStr">
        <is>
          <t>Real</t>
        </is>
      </c>
    </row>
    <row r="622" ht="23.25" customHeight="1" s="19">
      <c r="A622" s="24" t="n">
        <v>8086</v>
      </c>
      <c r="B622" s="25" t="inlineStr">
        <is>
          <t>Servicios de análisis de datos y big data</t>
        </is>
      </c>
      <c r="C622" s="24" t="inlineStr">
        <is>
          <t>Business Intelligence</t>
        </is>
      </c>
      <c r="D622" s="25" t="inlineStr">
        <is>
          <t>Servicios De Consultoría Y Ejecución De Proyectos De Análisis De Datos Y Big Data Para Empresas.</t>
        </is>
      </c>
      <c r="E622" s="26" t="n">
        <v>4500</v>
      </c>
      <c r="F622" s="27">
        <f>E622/Config!$B$1</f>
        <v/>
      </c>
      <c r="G622" s="28" t="inlineStr">
        <is>
          <t>Estimado (mediana de categoría)</t>
        </is>
      </c>
    </row>
    <row r="623" ht="23.25" customHeight="1" s="19">
      <c r="A623" s="24" t="n">
        <v>6393</v>
      </c>
      <c r="B623" s="25" t="inlineStr">
        <is>
          <t>Servicios de análisis de datos y visualización</t>
        </is>
      </c>
      <c r="C623" s="24" t="inlineStr">
        <is>
          <t>Business Intelligence</t>
        </is>
      </c>
      <c r="D623" s="25" t="inlineStr">
        <is>
          <t>Servicios De Consultoría Y Ejecución De Proyectos De Análisis De Datos Y Visualización.</t>
        </is>
      </c>
      <c r="E623" s="26" t="n">
        <v>9000</v>
      </c>
      <c r="F623" s="27">
        <f>E623/Config!$B$1</f>
        <v/>
      </c>
      <c r="G623" s="24" t="inlineStr">
        <is>
          <t>Real</t>
        </is>
      </c>
    </row>
    <row r="624" ht="23.25" customHeight="1" s="19">
      <c r="A624" s="24" t="n">
        <v>8104</v>
      </c>
      <c r="B624" s="25" t="inlineStr">
        <is>
          <t>Servicios de análisis de datos y visualización</t>
        </is>
      </c>
      <c r="C624" s="24" t="inlineStr">
        <is>
          <t>Business Intelligence</t>
        </is>
      </c>
      <c r="D624" s="25" t="inlineStr">
        <is>
          <t>Servicios De Consultoría Y Ejecución De Proyectos De Análisis De Datos Y Visualización.</t>
        </is>
      </c>
      <c r="E624" s="26" t="n">
        <v>4500</v>
      </c>
      <c r="F624" s="27">
        <f>E624/Config!$B$1</f>
        <v/>
      </c>
      <c r="G624" s="28" t="inlineStr">
        <is>
          <t>Estimado (mediana de categoría)</t>
        </is>
      </c>
    </row>
    <row r="625" ht="23.25" customHeight="1" s="19">
      <c r="A625" s="24" t="n">
        <v>5984</v>
      </c>
      <c r="B625" s="25" t="inlineStr">
        <is>
          <t>Servicios de análisis de sentimientos y gestión de la reputación en redes sociales</t>
        </is>
      </c>
      <c r="C625" s="24" t="inlineStr">
        <is>
          <t>Business Intelligence</t>
        </is>
      </c>
      <c r="D625" s="25" t="inlineStr">
        <is>
          <t>Análisis De Sentimientos Y Reputación En Redes Sociales</t>
        </is>
      </c>
      <c r="E625" s="26" t="n">
        <v>8100</v>
      </c>
      <c r="F625" s="27">
        <f>E625/Config!$B$1</f>
        <v/>
      </c>
      <c r="G625" s="24" t="inlineStr">
        <is>
          <t>Real</t>
        </is>
      </c>
    </row>
    <row r="626" ht="34.5" customHeight="1" s="19">
      <c r="A626" s="24" t="n">
        <v>6402</v>
      </c>
      <c r="B626" s="25" t="inlineStr">
        <is>
          <t>Servicios de consultoria en arquitectura empresarial</t>
        </is>
      </c>
      <c r="C626" s="24" t="inlineStr">
        <is>
          <t>Business Intelligence</t>
        </is>
      </c>
      <c r="D626" s="25" t="inlineStr">
        <is>
          <t>Servicios De Consultoría Especializada En El Desarrollo De Arquitecturas De Sistemas Y Procesos A Nivel Organizacional.</t>
        </is>
      </c>
      <c r="E626" s="26" t="n">
        <v>19800</v>
      </c>
      <c r="F626" s="27">
        <f>E626/Config!$B$1</f>
        <v/>
      </c>
      <c r="G626" s="24" t="inlineStr">
        <is>
          <t>Real</t>
        </is>
      </c>
    </row>
    <row r="627" ht="34.5" customHeight="1" s="19">
      <c r="A627" s="24" t="n">
        <v>8113</v>
      </c>
      <c r="B627" s="25" t="inlineStr">
        <is>
          <t>Servicios de consultoria en arquitectura empresarial</t>
        </is>
      </c>
      <c r="C627" s="24" t="inlineStr">
        <is>
          <t>Business Intelligence</t>
        </is>
      </c>
      <c r="D627" s="25" t="inlineStr">
        <is>
          <t>Servicios De Consultoría Especializada En El Desarrollo De Arquitecturas De Sistemas Y Procesos A Nivel Organizacional.</t>
        </is>
      </c>
      <c r="E627" s="26" t="n">
        <v>4500</v>
      </c>
      <c r="F627" s="27">
        <f>E627/Config!$B$1</f>
        <v/>
      </c>
      <c r="G627" s="28" t="inlineStr">
        <is>
          <t>Estimado (mediana de categoría)</t>
        </is>
      </c>
    </row>
    <row r="628" ht="23.25" customHeight="1" s="19">
      <c r="A628" s="24" t="n">
        <v>6398</v>
      </c>
      <c r="B628" s="25" t="inlineStr">
        <is>
          <t>Servicios de consultoría en administración y gestión de datos</t>
        </is>
      </c>
      <c r="C628" s="24" t="inlineStr">
        <is>
          <t>Business Intelligence</t>
        </is>
      </c>
      <c r="D628" s="25" t="inlineStr">
        <is>
          <t>Servicios De Consultoría Especializada En La Gestión Integral De Datos Empresariales.</t>
        </is>
      </c>
      <c r="E628" s="26" t="n">
        <v>14400</v>
      </c>
      <c r="F628" s="27">
        <f>E628/Config!$B$1</f>
        <v/>
      </c>
      <c r="G628" s="24" t="inlineStr">
        <is>
          <t>Real</t>
        </is>
      </c>
    </row>
    <row r="629" ht="23.25" customHeight="1" s="19">
      <c r="A629" s="24" t="n">
        <v>8109</v>
      </c>
      <c r="B629" s="25" t="inlineStr">
        <is>
          <t>Servicios de consultoría en administración y gestión de datos</t>
        </is>
      </c>
      <c r="C629" s="24" t="inlineStr">
        <is>
          <t>Business Intelligence</t>
        </is>
      </c>
      <c r="D629" s="25" t="inlineStr">
        <is>
          <t>Servicios De Consultoría Especializada En La Gestión Integral De Datos Empresariales.</t>
        </is>
      </c>
      <c r="E629" s="26" t="n">
        <v>4500</v>
      </c>
      <c r="F629" s="27">
        <f>E629/Config!$B$1</f>
        <v/>
      </c>
      <c r="G629" s="28" t="inlineStr">
        <is>
          <t>Estimado (mediana de categoría)</t>
        </is>
      </c>
    </row>
    <row r="630" ht="34.5" customHeight="1" s="19">
      <c r="A630" s="24" t="n">
        <v>6405</v>
      </c>
      <c r="B630" s="25" t="inlineStr">
        <is>
          <t>Servicios de consultoría en estrategia y gobierno de datos</t>
        </is>
      </c>
      <c r="C630" s="24" t="inlineStr">
        <is>
          <t>Business Intelligence</t>
        </is>
      </c>
      <c r="D630" s="25" t="inlineStr">
        <is>
          <t>Servicios De Consultoría Especializada En El Diseño E Implementación De Iniciativas De Gobernanza De Datos.</t>
        </is>
      </c>
      <c r="E630" s="26" t="n">
        <v>19800</v>
      </c>
      <c r="F630" s="27">
        <f>E630/Config!$B$1</f>
        <v/>
      </c>
      <c r="G630" s="24" t="inlineStr">
        <is>
          <t>Real</t>
        </is>
      </c>
    </row>
    <row r="631" ht="34.5" customHeight="1" s="19">
      <c r="A631" s="24" t="n">
        <v>8116</v>
      </c>
      <c r="B631" s="25" t="inlineStr">
        <is>
          <t>Servicios de consultoría en estrategia y gobierno de datos</t>
        </is>
      </c>
      <c r="C631" s="24" t="inlineStr">
        <is>
          <t>Business Intelligence</t>
        </is>
      </c>
      <c r="D631" s="25" t="inlineStr">
        <is>
          <t>Servicios De Consultoría Especializada En El Diseño E Implementación De Iniciativas De Gobernanza De Datos.</t>
        </is>
      </c>
      <c r="E631" s="26" t="n">
        <v>4500</v>
      </c>
      <c r="F631" s="27">
        <f>E631/Config!$B$1</f>
        <v/>
      </c>
      <c r="G631" s="28" t="inlineStr">
        <is>
          <t>Estimado (mediana de categoría)</t>
        </is>
      </c>
    </row>
    <row r="632" ht="34.5" customHeight="1" s="19">
      <c r="A632" s="24" t="n">
        <v>6412</v>
      </c>
      <c r="B632" s="25" t="inlineStr">
        <is>
          <t>Servicios de consultoría en estrategia y transformación digital</t>
        </is>
      </c>
      <c r="C632" s="24" t="inlineStr">
        <is>
          <t>Business Intelligence</t>
        </is>
      </c>
      <c r="D632" s="25" t="inlineStr">
        <is>
          <t>Servicios De Consultoría Especializada En La Planificación E Implementación De Iniciativas De Digitalización.</t>
        </is>
      </c>
      <c r="E632" s="26" t="n">
        <v>22500</v>
      </c>
      <c r="F632" s="27">
        <f>E632/Config!$B$1</f>
        <v/>
      </c>
      <c r="G632" s="24" t="inlineStr">
        <is>
          <t>Real</t>
        </is>
      </c>
    </row>
    <row r="633" ht="34.5" customHeight="1" s="19">
      <c r="A633" s="24" t="n">
        <v>8123</v>
      </c>
      <c r="B633" s="25" t="inlineStr">
        <is>
          <t>Servicios de consultoría en estrategia y transformación digital</t>
        </is>
      </c>
      <c r="C633" s="24" t="inlineStr">
        <is>
          <t>Business Intelligence</t>
        </is>
      </c>
      <c r="D633" s="25" t="inlineStr">
        <is>
          <t>Servicios De Consultoría Especializada En La Planificación E Implementación De Iniciativas De Digitalización.</t>
        </is>
      </c>
      <c r="E633" s="26" t="n">
        <v>4500</v>
      </c>
      <c r="F633" s="27">
        <f>E633/Config!$B$1</f>
        <v/>
      </c>
      <c r="G633" s="28" t="inlineStr">
        <is>
          <t>Estimado (mediana de categoría)</t>
        </is>
      </c>
    </row>
    <row r="634" ht="34.5" customHeight="1" s="19">
      <c r="A634" s="24" t="n">
        <v>6359</v>
      </c>
      <c r="B634" s="25" t="inlineStr">
        <is>
          <t>Servicios de consultoría en transformación digital</t>
        </is>
      </c>
      <c r="C634" s="24" t="inlineStr">
        <is>
          <t>Business Intelligence</t>
        </is>
      </c>
      <c r="D634" s="25" t="inlineStr">
        <is>
          <t>Servicios De Consultoría Para Guiar A Las Organizaciones En Su Proceso De Transformación Digital.</t>
        </is>
      </c>
      <c r="E634" s="26" t="n">
        <v>16200</v>
      </c>
      <c r="F634" s="27">
        <f>E634/Config!$B$1</f>
        <v/>
      </c>
      <c r="G634" s="24" t="inlineStr">
        <is>
          <t>Real</t>
        </is>
      </c>
    </row>
    <row r="635" ht="34.5" customHeight="1" s="19">
      <c r="A635" s="24" t="n">
        <v>8070</v>
      </c>
      <c r="B635" s="25" t="inlineStr">
        <is>
          <t>Servicios de consultoría en transformación digital</t>
        </is>
      </c>
      <c r="C635" s="24" t="inlineStr">
        <is>
          <t>Business Intelligence</t>
        </is>
      </c>
      <c r="D635" s="25" t="inlineStr">
        <is>
          <t>Servicios De Consultoría Para Guiar A Las Organizaciones En Su Proceso De Transformación Digital.</t>
        </is>
      </c>
      <c r="E635" s="26" t="n">
        <v>4500</v>
      </c>
      <c r="F635" s="27">
        <f>E635/Config!$B$1</f>
        <v/>
      </c>
      <c r="G635" s="28" t="inlineStr">
        <is>
          <t>Estimado (mediana de categoría)</t>
        </is>
      </c>
    </row>
    <row r="636" ht="34.5" customHeight="1" s="19">
      <c r="A636" s="24" t="n">
        <v>6442</v>
      </c>
      <c r="B636" s="25" t="inlineStr">
        <is>
          <t>Servicios de desarrollo de aplicaciones de análisis de datos de redes sociales</t>
        </is>
      </c>
      <c r="C636" s="24" t="inlineStr">
        <is>
          <t>Business Intelligence</t>
        </is>
      </c>
      <c r="D636" s="25" t="inlineStr">
        <is>
          <t>Servicios De Consultoría Y Construcción De Soluciones Para La Extracción De Insights, Monitoreo Y Gestión De La Presencia En Canales Digitales.</t>
        </is>
      </c>
      <c r="E636" s="26" t="n">
        <v>22500</v>
      </c>
      <c r="F636" s="27">
        <f>E636/Config!$B$1</f>
        <v/>
      </c>
      <c r="G636" s="24" t="inlineStr">
        <is>
          <t>Real</t>
        </is>
      </c>
    </row>
    <row r="637" ht="34.5" customHeight="1" s="19">
      <c r="A637" s="24" t="n">
        <v>8153</v>
      </c>
      <c r="B637" s="25" t="inlineStr">
        <is>
          <t>Servicios de desarrollo de aplicaciones de análisis de datos de redes sociales</t>
        </is>
      </c>
      <c r="C637" s="24" t="inlineStr">
        <is>
          <t>Business Intelligence</t>
        </is>
      </c>
      <c r="D637" s="25" t="inlineStr">
        <is>
          <t>Servicios De Consultoría Y Construcción De Soluciones Para La Extracción De Insights, Monitoreo Y Gestión De La Presencia En Canales Digitales.</t>
        </is>
      </c>
      <c r="E637" s="26" t="n">
        <v>4500</v>
      </c>
      <c r="F637" s="27">
        <f>E637/Config!$B$1</f>
        <v/>
      </c>
      <c r="G637" s="28" t="inlineStr">
        <is>
          <t>Estimado (mediana de categoría)</t>
        </is>
      </c>
    </row>
    <row r="638" ht="34.5" customHeight="1" s="19">
      <c r="A638" s="24" t="n">
        <v>6440</v>
      </c>
      <c r="B638" s="25" t="inlineStr">
        <is>
          <t>Servicios de desarrollo de aplicaciones de análisis de datos geoespaciales</t>
        </is>
      </c>
      <c r="C638" s="24" t="inlineStr">
        <is>
          <t>Business Intelligence</t>
        </is>
      </c>
      <c r="D638" s="25" t="inlineStr">
        <is>
          <t>Servicios De Consultoría Y Construcción De Soluciones De Procesamiento, Interpretación Y Representación De Información Geoespacial.</t>
        </is>
      </c>
      <c r="E638" s="26" t="n">
        <v>22500</v>
      </c>
      <c r="F638" s="27">
        <f>E638/Config!$B$1</f>
        <v/>
      </c>
      <c r="G638" s="24" t="inlineStr">
        <is>
          <t>Real</t>
        </is>
      </c>
    </row>
    <row r="639" ht="34.5" customHeight="1" s="19">
      <c r="A639" s="24" t="n">
        <v>8151</v>
      </c>
      <c r="B639" s="25" t="inlineStr">
        <is>
          <t>Servicios de desarrollo de aplicaciones de análisis de datos geoespaciales</t>
        </is>
      </c>
      <c r="C639" s="24" t="inlineStr">
        <is>
          <t>Business Intelligence</t>
        </is>
      </c>
      <c r="D639" s="25" t="inlineStr">
        <is>
          <t>Servicios De Consultoría Y Construcción De Soluciones De Procesamiento, Interpretación Y Representación De Información Geoespacial.</t>
        </is>
      </c>
      <c r="E639" s="26" t="n">
        <v>4500</v>
      </c>
      <c r="F639" s="27">
        <f>E639/Config!$B$1</f>
        <v/>
      </c>
      <c r="G639" s="28" t="inlineStr">
        <is>
          <t>Estimado (mediana de categoría)</t>
        </is>
      </c>
    </row>
    <row r="640" ht="45.75" customHeight="1" s="19">
      <c r="A640" s="24" t="n">
        <v>6428</v>
      </c>
      <c r="B640" s="25" t="inlineStr">
        <is>
          <t>Servicios de desarrollo de aplicaciones de análisis predictivo y ciencia de datos</t>
        </is>
      </c>
      <c r="C640" s="24" t="inlineStr">
        <is>
          <t>Business Intelligence</t>
        </is>
      </c>
      <c r="D640" s="25" t="inlineStr">
        <is>
          <t>Servicios De Consultoría Y Construcción De Aplicaciones Para La Extracción De Insights, Predicción De Tendencias Y Toma De Decisiones Basada En Datos.</t>
        </is>
      </c>
      <c r="E640" s="26" t="n">
        <v>25200</v>
      </c>
      <c r="F640" s="27">
        <f>E640/Config!$B$1</f>
        <v/>
      </c>
      <c r="G640" s="24" t="inlineStr">
        <is>
          <t>Real</t>
        </is>
      </c>
    </row>
    <row r="641" ht="45.75" customHeight="1" s="19">
      <c r="A641" s="24" t="n">
        <v>8139</v>
      </c>
      <c r="B641" s="25" t="inlineStr">
        <is>
          <t>Servicios de desarrollo de aplicaciones de análisis predictivo y ciencia de datos</t>
        </is>
      </c>
      <c r="C641" s="24" t="inlineStr">
        <is>
          <t>Business Intelligence</t>
        </is>
      </c>
      <c r="D641" s="25" t="inlineStr">
        <is>
          <t>Servicios De Consultoría Y Construcción De Aplicaciones Para La Extracción De Insights, Predicción De Tendencias Y Toma De Decisiones Basada En Datos.</t>
        </is>
      </c>
      <c r="E641" s="26" t="n">
        <v>4500</v>
      </c>
      <c r="F641" s="27">
        <f>E641/Config!$B$1</f>
        <v/>
      </c>
      <c r="G641" s="28" t="inlineStr">
        <is>
          <t>Estimado (mediana de categoría)</t>
        </is>
      </c>
    </row>
    <row r="642" ht="34.5" customHeight="1" s="19">
      <c r="A642" s="24" t="n">
        <v>6432</v>
      </c>
      <c r="B642" s="25" t="inlineStr">
        <is>
          <t>Servicios de desarrollo de aplicaciones de inteligencia artificial generativa</t>
        </is>
      </c>
      <c r="C642" s="24" t="inlineStr">
        <is>
          <t>Business Intelligence</t>
        </is>
      </c>
      <c r="D642" s="25" t="inlineStr">
        <is>
          <t>Servicios De Consultoría Y Construcción De Soluciones De Ia Para La Generación De Contenido, Ideas Y Análisis Personalizados.</t>
        </is>
      </c>
      <c r="E642" s="26" t="n">
        <v>28800</v>
      </c>
      <c r="F642" s="27">
        <f>E642/Config!$B$1</f>
        <v/>
      </c>
      <c r="G642" s="24" t="inlineStr">
        <is>
          <t>Real</t>
        </is>
      </c>
    </row>
    <row r="643" ht="23.25" customHeight="1" s="19">
      <c r="A643" s="24" t="n">
        <v>6403</v>
      </c>
      <c r="B643" s="25" t="inlineStr">
        <is>
          <t>Servicios de desarrollo de soluciones de inteligencia artificial y machine learning</t>
        </is>
      </c>
      <c r="C643" s="24" t="inlineStr">
        <is>
          <t>Business Intelligence</t>
        </is>
      </c>
      <c r="D643" s="25" t="inlineStr">
        <is>
          <t>Servicios De Creación De Soluciones Avanzadas De Ia Y Machine Learning Para Diversas Industrias.</t>
        </is>
      </c>
      <c r="E643" s="26" t="n">
        <v>25200</v>
      </c>
      <c r="F643" s="27">
        <f>E643/Config!$B$1</f>
        <v/>
      </c>
      <c r="G643" s="24" t="inlineStr">
        <is>
          <t>Real</t>
        </is>
      </c>
    </row>
    <row r="644" ht="34.5" customHeight="1" s="19">
      <c r="A644" s="24" t="n">
        <v>6380</v>
      </c>
      <c r="B644" s="25" t="inlineStr">
        <is>
          <t>Servicios de estrategia y transformación digital</t>
        </is>
      </c>
      <c r="C644" s="24" t="inlineStr">
        <is>
          <t>Business Intelligence</t>
        </is>
      </c>
      <c r="D644" s="25" t="inlineStr">
        <is>
          <t>Servicios De Consultoría En Estrategia, Diseño E Implementación De Programas De Transformación Digital.</t>
        </is>
      </c>
      <c r="E644" s="26" t="n">
        <v>18000</v>
      </c>
      <c r="F644" s="27">
        <f>E644/Config!$B$1</f>
        <v/>
      </c>
      <c r="G644" s="24" t="inlineStr">
        <is>
          <t>Real</t>
        </is>
      </c>
    </row>
    <row r="645" ht="34.5" customHeight="1" s="19">
      <c r="A645" s="24" t="n">
        <v>8091</v>
      </c>
      <c r="B645" s="25" t="inlineStr">
        <is>
          <t>Servicios de estrategia y transformación digital</t>
        </is>
      </c>
      <c r="C645" s="24" t="inlineStr">
        <is>
          <t>Business Intelligence</t>
        </is>
      </c>
      <c r="D645" s="25" t="inlineStr">
        <is>
          <t>Servicios De Consultoría En Estrategia, Diseño E Implementación De Programas De Transformación Digital.</t>
        </is>
      </c>
      <c r="E645" s="26" t="n">
        <v>4500</v>
      </c>
      <c r="F645" s="27">
        <f>E645/Config!$B$1</f>
        <v/>
      </c>
      <c r="G645" s="28" t="inlineStr">
        <is>
          <t>Estimado (mediana de categoría)</t>
        </is>
      </c>
    </row>
    <row r="646" ht="23.25" customHeight="1" s="19">
      <c r="A646" s="24" t="n">
        <v>6351</v>
      </c>
      <c r="B646" s="25" t="inlineStr">
        <is>
          <t>Servicios de gestión de proyectos</t>
        </is>
      </c>
      <c r="C646" s="24" t="inlineStr">
        <is>
          <t>Business Intelligence</t>
        </is>
      </c>
      <c r="D646" s="25" t="inlineStr">
        <is>
          <t>Servicios Integrales De Gestión Y Dirección De Proyectos Empresariales.</t>
        </is>
      </c>
      <c r="E646" s="26" t="n">
        <v>13500</v>
      </c>
      <c r="F646" s="27">
        <f>E646/Config!$B$1</f>
        <v/>
      </c>
      <c r="G646" s="24" t="inlineStr">
        <is>
          <t>Real</t>
        </is>
      </c>
    </row>
    <row r="647" ht="23.25" customHeight="1" s="19">
      <c r="A647" s="24" t="n">
        <v>6372</v>
      </c>
      <c r="B647" s="25" t="inlineStr">
        <is>
          <t>Servicios de gestión de proyectos de TI</t>
        </is>
      </c>
      <c r="C647" s="24" t="inlineStr">
        <is>
          <t>Business Intelligence</t>
        </is>
      </c>
      <c r="D647" s="25" t="inlineStr">
        <is>
          <t>Servicios De Consultoría Y Liderazgo En La Gestión De Iniciativas Y Proyectos De Ti.</t>
        </is>
      </c>
      <c r="E647" s="26" t="n">
        <v>14400</v>
      </c>
      <c r="F647" s="27">
        <f>E647/Config!$B$1</f>
        <v/>
      </c>
      <c r="G647" s="24" t="inlineStr">
        <is>
          <t>Real</t>
        </is>
      </c>
    </row>
    <row r="648" ht="23.25" customHeight="1" s="19">
      <c r="A648" s="24" t="n">
        <v>6410</v>
      </c>
      <c r="B648" s="25" t="inlineStr">
        <is>
          <t>Servicios de gestión de proyectos y transformación ágil</t>
        </is>
      </c>
      <c r="C648" s="24" t="inlineStr">
        <is>
          <t>Business Intelligence</t>
        </is>
      </c>
      <c r="D648" s="25" t="inlineStr">
        <is>
          <t>Servicios De Consultoría Y Acompañamiento En La Gestión De Proyectos De Cambio Y Mejora Continua.</t>
        </is>
      </c>
      <c r="E648" s="26" t="n">
        <v>19800</v>
      </c>
      <c r="F648" s="27">
        <f>E648/Config!$B$1</f>
        <v/>
      </c>
      <c r="G648" s="24" t="inlineStr">
        <is>
          <t>Real</t>
        </is>
      </c>
    </row>
    <row r="649" ht="34.5" customHeight="1" s="19">
      <c r="A649" s="24" t="n">
        <v>6443</v>
      </c>
      <c r="B649" s="25" t="inlineStr">
        <is>
          <t>Servicios de implementación de soluciones de analítica avanzada de datos</t>
        </is>
      </c>
      <c r="C649" s="24" t="inlineStr">
        <is>
          <t>Business Intelligence</t>
        </is>
      </c>
      <c r="D649" s="25" t="inlineStr">
        <is>
          <t>Servicios De Consultoría Y Despliegue De Soluciones De Analítica Predictiva, Prescriptiva Y En Tiempo Real Para Optimizar Procesos Clave Del Negocio.</t>
        </is>
      </c>
      <c r="E649" s="26" t="n">
        <v>28800</v>
      </c>
      <c r="F649" s="27">
        <f>E649/Config!$B$1</f>
        <v/>
      </c>
      <c r="G649" s="24" t="inlineStr">
        <is>
          <t>Real</t>
        </is>
      </c>
    </row>
    <row r="650" ht="34.5" customHeight="1" s="19">
      <c r="A650" s="24" t="n">
        <v>8154</v>
      </c>
      <c r="B650" s="25" t="inlineStr">
        <is>
          <t>Servicios de implementación de soluciones de analítica avanzada de datos</t>
        </is>
      </c>
      <c r="C650" s="24" t="inlineStr">
        <is>
          <t>Business Intelligence</t>
        </is>
      </c>
      <c r="D650" s="25" t="inlineStr">
        <is>
          <t>Servicios De Consultoría Y Despliegue De Soluciones De Analítica Predictiva, Prescriptiva Y En Tiempo Real Para Optimizar Procesos Clave Del Negocio.</t>
        </is>
      </c>
      <c r="E650" s="26" t="n">
        <v>4500</v>
      </c>
      <c r="F650" s="27">
        <f>E650/Config!$B$1</f>
        <v/>
      </c>
      <c r="G650" s="28" t="inlineStr">
        <is>
          <t>Estimado (mediana de categoría)</t>
        </is>
      </c>
    </row>
    <row r="651" ht="34.5" customHeight="1" s="19">
      <c r="A651" s="24" t="n">
        <v>6423</v>
      </c>
      <c r="B651" s="25" t="inlineStr">
        <is>
          <t>Servicios de implementación de soluciones de analítica de datos y visualización</t>
        </is>
      </c>
      <c r="C651" s="24" t="inlineStr">
        <is>
          <t>Business Intelligence</t>
        </is>
      </c>
      <c r="D651" s="25" t="inlineStr">
        <is>
          <t>Servicios De Consultoría Y Desarrollo De Plataformas Para Análisis De Datos, Inteligencia De Negocios Y Generación De Reportes.</t>
        </is>
      </c>
      <c r="E651" s="26" t="n">
        <v>18000</v>
      </c>
      <c r="F651" s="27">
        <f>E651/Config!$B$1</f>
        <v/>
      </c>
      <c r="G651" s="24" t="inlineStr">
        <is>
          <t>Real</t>
        </is>
      </c>
    </row>
    <row r="652" ht="34.5" customHeight="1" s="19">
      <c r="A652" s="24" t="n">
        <v>8134</v>
      </c>
      <c r="B652" s="25" t="inlineStr">
        <is>
          <t>Servicios de implementación de soluciones de analítica de datos y visualización</t>
        </is>
      </c>
      <c r="C652" s="24" t="inlineStr">
        <is>
          <t>Business Intelligence</t>
        </is>
      </c>
      <c r="D652" s="25" t="inlineStr">
        <is>
          <t>Servicios De Consultoría Y Desarrollo De Plataformas Para Análisis De Datos, Inteligencia De Negocios Y Generación De Reportes.</t>
        </is>
      </c>
      <c r="E652" s="26" t="n">
        <v>4500</v>
      </c>
      <c r="F652" s="27">
        <f>E652/Config!$B$1</f>
        <v/>
      </c>
      <c r="G652" s="28" t="inlineStr">
        <is>
          <t>Estimado (mediana de categoría)</t>
        </is>
      </c>
    </row>
    <row r="653" ht="45.75" customHeight="1" s="19">
      <c r="A653" s="24" t="n">
        <v>6449</v>
      </c>
      <c r="B653" s="25" t="inlineStr">
        <is>
          <t>Servicios de implementación de soluciones de analítica de experiencia de usuario</t>
        </is>
      </c>
      <c r="C653" s="24" t="inlineStr">
        <is>
          <t>Business Intelligence</t>
        </is>
      </c>
      <c r="D653" s="25" t="inlineStr">
        <is>
          <t>Servicios De Consultoría Y Despliegue De Soluciones De Analítica De Comportamiento, Usabilidad Y Satisfacción Del Usuario Para Optimizar La Experiencia Digital.</t>
        </is>
      </c>
      <c r="E653" s="26" t="n">
        <v>25200</v>
      </c>
      <c r="F653" s="27">
        <f>E653/Config!$B$1</f>
        <v/>
      </c>
      <c r="G653" s="24" t="inlineStr">
        <is>
          <t>Real</t>
        </is>
      </c>
    </row>
    <row r="654" ht="45.75" customHeight="1" s="19">
      <c r="A654" s="24" t="n">
        <v>8160</v>
      </c>
      <c r="B654" s="25" t="inlineStr">
        <is>
          <t>Servicios de implementación de soluciones de analítica de experiencia de usuario</t>
        </is>
      </c>
      <c r="C654" s="24" t="inlineStr">
        <is>
          <t>Business Intelligence</t>
        </is>
      </c>
      <c r="D654" s="25" t="inlineStr">
        <is>
          <t>Servicios De Consultoría Y Despliegue De Soluciones De Analítica De Comportamiento, Usabilidad Y Satisfacción Del Usuario Para Optimizar La Experiencia Digital.</t>
        </is>
      </c>
      <c r="E654" s="26" t="n">
        <v>4500</v>
      </c>
      <c r="F654" s="27">
        <f>E654/Config!$B$1</f>
        <v/>
      </c>
      <c r="G654" s="28" t="inlineStr">
        <is>
          <t>Estimado (mediana de categoría)</t>
        </is>
      </c>
    </row>
    <row r="655" ht="34.5" customHeight="1" s="19">
      <c r="A655" s="24" t="n">
        <v>6433</v>
      </c>
      <c r="B655" s="25" t="inlineStr">
        <is>
          <t>Servicios de implementación de soluciones de gestión de datos y analítica empresarial</t>
        </is>
      </c>
      <c r="C655" s="24" t="inlineStr">
        <is>
          <t>Business Intelligence</t>
        </is>
      </c>
      <c r="D655" s="25" t="inlineStr">
        <is>
          <t>Servicios De Consultoría Y Despliegue De Soluciones Integrales Para La Gestión, Gobierno Y Análisis De Datos A Nivel Organizacional.</t>
        </is>
      </c>
      <c r="E655" s="26" t="n">
        <v>31500</v>
      </c>
      <c r="F655" s="27">
        <f>E655/Config!$B$1</f>
        <v/>
      </c>
      <c r="G655" s="24" t="inlineStr">
        <is>
          <t>Real</t>
        </is>
      </c>
    </row>
    <row r="656" ht="34.5" customHeight="1" s="19">
      <c r="A656" s="24" t="n">
        <v>8144</v>
      </c>
      <c r="B656" s="25" t="inlineStr">
        <is>
          <t>Servicios de implementación de soluciones de gestión de datos y analítica empresarial</t>
        </is>
      </c>
      <c r="C656" s="24" t="inlineStr">
        <is>
          <t>Business Intelligence</t>
        </is>
      </c>
      <c r="D656" s="25" t="inlineStr">
        <is>
          <t>Servicios De Consultoría Y Despliegue De Soluciones Integrales Para La Gestión, Gobierno Y Análisis De Datos A Nivel Organizacional.</t>
        </is>
      </c>
      <c r="E656" s="26" t="n">
        <v>4500</v>
      </c>
      <c r="F656" s="27">
        <f>E656/Config!$B$1</f>
        <v/>
      </c>
      <c r="G656" s="28" t="inlineStr">
        <is>
          <t>Estimado (mediana de categoría)</t>
        </is>
      </c>
    </row>
    <row r="657" ht="34.5" customHeight="1" s="19">
      <c r="A657" s="24" t="n">
        <v>6434</v>
      </c>
      <c r="B657" s="25" t="inlineStr">
        <is>
          <t>Servicios de implementación de soluciones de inteligencia artificial y aprendizaje automático</t>
        </is>
      </c>
      <c r="C657" s="24" t="inlineStr">
        <is>
          <t>Business Intelligence</t>
        </is>
      </c>
      <c r="D657" s="25" t="inlineStr">
        <is>
          <t>Servicios De Consultoría Y Despliegue De Soluciones De Ia Para La Automatización De Procesos, Predicción De Tendencias Y Toma De Decisiones.</t>
        </is>
      </c>
      <c r="E657" s="26" t="n">
        <v>27000</v>
      </c>
      <c r="F657" s="27">
        <f>E657/Config!$B$1</f>
        <v/>
      </c>
      <c r="G657" s="24" t="inlineStr">
        <is>
          <t>Real</t>
        </is>
      </c>
    </row>
    <row r="658" ht="34.5" customHeight="1" s="19">
      <c r="A658" s="24" t="n">
        <v>6416</v>
      </c>
      <c r="B658" s="25" t="inlineStr">
        <is>
          <t>Servicios de implementación de soluciones de inteligencia artificial y machine learning</t>
        </is>
      </c>
      <c r="C658" s="24" t="inlineStr">
        <is>
          <t>Business Intelligence</t>
        </is>
      </c>
      <c r="D658" s="25" t="inlineStr">
        <is>
          <t>Servicios De Consultoría Y Despliegue De Soluciones De Inteligencia Artificial, Aprendizaje De Máquina Y Procesamiento De Datos.</t>
        </is>
      </c>
      <c r="E658" s="26" t="n">
        <v>22500</v>
      </c>
      <c r="F658" s="27">
        <f>E658/Config!$B$1</f>
        <v/>
      </c>
      <c r="G658" s="24" t="inlineStr">
        <is>
          <t>Real</t>
        </is>
      </c>
    </row>
    <row r="659" ht="15" customHeight="1" s="19">
      <c r="A659" s="24" t="n">
        <v>6728</v>
      </c>
      <c r="B659" s="25" t="inlineStr">
        <is>
          <t>Soluciones De Inteligencia De Negocio</t>
        </is>
      </c>
      <c r="C659" s="24" t="inlineStr">
        <is>
          <t>Business Intelligence</t>
        </is>
      </c>
      <c r="D659" s="25" t="inlineStr">
        <is>
          <t>Consultoría En Bi.</t>
        </is>
      </c>
      <c r="E659" s="26" t="n">
        <v>2100</v>
      </c>
      <c r="F659" s="27">
        <f>E659/Config!$B$1</f>
        <v/>
      </c>
      <c r="G659" s="24" t="inlineStr">
        <is>
          <t>Real</t>
        </is>
      </c>
    </row>
    <row r="660" ht="15" customHeight="1" s="19">
      <c r="A660" s="24" t="n">
        <v>6732</v>
      </c>
      <c r="B660" s="25" t="inlineStr">
        <is>
          <t>Soluciones Estratégicas de BI</t>
        </is>
      </c>
      <c r="C660" s="24" t="inlineStr">
        <is>
          <t>Business Intelligence</t>
        </is>
      </c>
      <c r="D660" s="25" t="inlineStr">
        <is>
          <t>Soluciones Estratégicas De Bi.</t>
        </is>
      </c>
      <c r="E660" s="26" t="n">
        <v>3500</v>
      </c>
      <c r="F660" s="27">
        <f>E660/Config!$B$1</f>
        <v/>
      </c>
      <c r="G660" s="24" t="inlineStr">
        <is>
          <t>Real</t>
        </is>
      </c>
    </row>
    <row r="661" ht="23.25" customHeight="1" s="19">
      <c r="A661" s="24" t="n">
        <v>7451</v>
      </c>
      <c r="B661" s="25" t="inlineStr">
        <is>
          <t>Soluciones completas para grandes empresas con necesidades analíticas avanzadas y continuas.</t>
        </is>
      </c>
      <c r="C661" s="24" t="inlineStr">
        <is>
          <t>Business Intelligence</t>
        </is>
      </c>
      <c r="D661" s="25" t="n"/>
      <c r="E661" s="26" t="n">
        <v>4500</v>
      </c>
      <c r="F661" s="27">
        <f>E661/Config!$B$1</f>
        <v/>
      </c>
      <c r="G661" s="28" t="inlineStr">
        <is>
          <t>Estimado (mediana de categoría)</t>
        </is>
      </c>
    </row>
    <row r="662" ht="15" customHeight="1" s="19">
      <c r="A662" s="24" t="n">
        <v>6754</v>
      </c>
      <c r="B662" s="25" t="inlineStr">
        <is>
          <t>Soluciones de Business Intelligence (BI)</t>
        </is>
      </c>
      <c r="C662" s="24" t="inlineStr">
        <is>
          <t>Business Intelligence</t>
        </is>
      </c>
      <c r="D662" s="25" t="inlineStr">
        <is>
          <t>Soluciones De Bi</t>
        </is>
      </c>
      <c r="E662" s="26" t="n">
        <v>7500</v>
      </c>
      <c r="F662" s="27">
        <f>E662/Config!$B$1</f>
        <v/>
      </c>
      <c r="G662" s="24" t="inlineStr">
        <is>
          <t>Real</t>
        </is>
      </c>
    </row>
    <row r="663" ht="34.5" customHeight="1" s="19">
      <c r="A663" s="24" t="n">
        <v>7450</v>
      </c>
      <c r="B663" s="25" t="inlineStr">
        <is>
          <t>Soluciones de inteligencia de negocio más completas para medianas empresas con necesidades analíticas intermedias.</t>
        </is>
      </c>
      <c r="C663" s="24" t="inlineStr">
        <is>
          <t>Business Intelligence</t>
        </is>
      </c>
      <c r="D663" s="25" t="n"/>
      <c r="E663" s="26" t="n">
        <v>4500</v>
      </c>
      <c r="F663" s="27">
        <f>E663/Config!$B$1</f>
        <v/>
      </c>
      <c r="G663" s="28" t="inlineStr">
        <is>
          <t>Estimado (mediana de categoría)</t>
        </is>
      </c>
    </row>
    <row r="664" ht="23.25" customHeight="1" s="19">
      <c r="A664" s="24" t="n">
        <v>6338</v>
      </c>
      <c r="B664" s="25" t="inlineStr">
        <is>
          <t>Soluciones de inteligencia de negocios</t>
        </is>
      </c>
      <c r="C664" s="24" t="inlineStr">
        <is>
          <t>Business Intelligence</t>
        </is>
      </c>
      <c r="D664" s="25" t="inlineStr">
        <is>
          <t>Servicios De Diseño E Implementación De Soluciones De Business Intelligence.</t>
        </is>
      </c>
      <c r="E664" s="26" t="n">
        <v>22500</v>
      </c>
      <c r="F664" s="27">
        <f>E664/Config!$B$1</f>
        <v/>
      </c>
      <c r="G664" s="24" t="inlineStr">
        <is>
          <t>Real</t>
        </is>
      </c>
    </row>
    <row r="665" ht="23.25" customHeight="1" s="19">
      <c r="A665" s="24" t="n">
        <v>8049</v>
      </c>
      <c r="B665" s="25" t="inlineStr">
        <is>
          <t>Soluciones de inteligencia de negocios</t>
        </is>
      </c>
      <c r="C665" s="24" t="inlineStr">
        <is>
          <t>Business Intelligence</t>
        </is>
      </c>
      <c r="D665" s="25" t="inlineStr">
        <is>
          <t>Servicios De Diseño E Implementación De Soluciones De Business Intelligence.</t>
        </is>
      </c>
      <c r="E665" s="26" t="n">
        <v>4500</v>
      </c>
      <c r="F665" s="27">
        <f>E665/Config!$B$1</f>
        <v/>
      </c>
      <c r="G665" s="28" t="inlineStr">
        <is>
          <t>Estimado (mediana de categoría)</t>
        </is>
      </c>
    </row>
    <row r="666" ht="15" customHeight="1" s="19">
      <c r="A666" s="24" t="n">
        <v>7560</v>
      </c>
      <c r="B666" s="25" t="inlineStr">
        <is>
          <t>Solución de BI y analítica en la nube</t>
        </is>
      </c>
      <c r="C666" s="24" t="inlineStr">
        <is>
          <t>Business Intelligence</t>
        </is>
      </c>
      <c r="D666" s="25" t="inlineStr">
        <is>
          <t>Solución De Bi</t>
        </is>
      </c>
      <c r="E666" s="26" t="n">
        <v>3500</v>
      </c>
      <c r="F666" s="27">
        <f>E666/Config!$B$1</f>
        <v/>
      </c>
      <c r="G666" s="24" t="inlineStr">
        <is>
          <t>Real</t>
        </is>
      </c>
    </row>
    <row r="667" ht="15" customHeight="1" s="19">
      <c r="A667" s="24" t="n">
        <v>7001</v>
      </c>
      <c r="B667" s="25" t="inlineStr">
        <is>
          <t>Soporte Analítica Web</t>
        </is>
      </c>
      <c r="C667" s="24" t="inlineStr">
        <is>
          <t>Business Intelligence</t>
        </is>
      </c>
      <c r="D667" s="25" t="inlineStr">
        <is>
          <t>Soporte Analítica Web</t>
        </is>
      </c>
      <c r="E667" s="26" t="n">
        <v>2900</v>
      </c>
      <c r="F667" s="27">
        <f>E667/Config!$B$1</f>
        <v/>
      </c>
      <c r="G667" s="24" t="inlineStr">
        <is>
          <t>Real</t>
        </is>
      </c>
    </row>
    <row r="668" ht="15" customHeight="1" s="19">
      <c r="A668" s="24" t="n">
        <v>7002</v>
      </c>
      <c r="B668" s="25" t="inlineStr">
        <is>
          <t>Soporte Avanzado de BI</t>
        </is>
      </c>
      <c r="C668" s="24" t="inlineStr">
        <is>
          <t>Business Intelligence</t>
        </is>
      </c>
      <c r="D668" s="25" t="inlineStr">
        <is>
          <t>Soporte Avanzado Bi</t>
        </is>
      </c>
      <c r="E668" s="26" t="n">
        <v>5800</v>
      </c>
      <c r="F668" s="27">
        <f>E668/Config!$B$1</f>
        <v/>
      </c>
      <c r="G668" s="24" t="inlineStr">
        <is>
          <t>Real</t>
        </is>
      </c>
    </row>
    <row r="669" ht="15" customHeight="1" s="19">
      <c r="A669" s="24" t="n">
        <v>7003</v>
      </c>
      <c r="B669" s="25" t="inlineStr">
        <is>
          <t>Soporte Avanzado de Business Intelligence en ERP</t>
        </is>
      </c>
      <c r="C669" s="24" t="inlineStr">
        <is>
          <t>Business Intelligence</t>
        </is>
      </c>
      <c r="D669" s="25" t="inlineStr">
        <is>
          <t>Soporte Avanzado Bi En Erp</t>
        </is>
      </c>
      <c r="E669" s="26" t="n">
        <v>6300</v>
      </c>
      <c r="F669" s="27">
        <f>E669/Config!$B$1</f>
        <v/>
      </c>
      <c r="G669" s="24" t="inlineStr">
        <is>
          <t>Real</t>
        </is>
      </c>
    </row>
    <row r="670" ht="23.25" customHeight="1" s="19">
      <c r="A670" s="24" t="n">
        <v>7004</v>
      </c>
      <c r="B670" s="25" t="inlineStr">
        <is>
          <t>Soporte Avanzado de Reportería y Business Intelligence en ERP</t>
        </is>
      </c>
      <c r="C670" s="24" t="inlineStr">
        <is>
          <t>Business Intelligence</t>
        </is>
      </c>
      <c r="D670" s="25" t="inlineStr">
        <is>
          <t>Soporte Avanzado Reportería Bi En Erp</t>
        </is>
      </c>
      <c r="E670" s="26" t="n">
        <v>6800</v>
      </c>
      <c r="F670" s="27">
        <f>E670/Config!$B$1</f>
        <v/>
      </c>
      <c r="G670" s="24" t="inlineStr">
        <is>
          <t>Real</t>
        </is>
      </c>
    </row>
    <row r="671" ht="15" customHeight="1" s="19">
      <c r="A671" s="24" t="n">
        <v>6987</v>
      </c>
      <c r="B671" s="25" t="inlineStr">
        <is>
          <t>Soporte Avanzado en BI</t>
        </is>
      </c>
      <c r="C671" s="24" t="inlineStr">
        <is>
          <t>Business Intelligence</t>
        </is>
      </c>
      <c r="D671" s="25" t="inlineStr">
        <is>
          <t>Soporte Bi Avanzado</t>
        </is>
      </c>
      <c r="E671" s="26" t="n">
        <v>3800</v>
      </c>
      <c r="F671" s="27">
        <f>E671/Config!$B$1</f>
        <v/>
      </c>
      <c r="G671" s="24" t="inlineStr">
        <is>
          <t>Real</t>
        </is>
      </c>
    </row>
    <row r="672" ht="15" customHeight="1" s="19">
      <c r="A672" s="24" t="n">
        <v>7011</v>
      </c>
      <c r="B672" s="25" t="inlineStr">
        <is>
          <t>Soporte Técnico en Soluciones de Business Intelligence</t>
        </is>
      </c>
      <c r="C672" s="24" t="inlineStr">
        <is>
          <t>Business Intelligence</t>
        </is>
      </c>
      <c r="D672" s="25" t="inlineStr">
        <is>
          <t>Soporte Bi</t>
        </is>
      </c>
      <c r="E672" s="26" t="n">
        <v>5300</v>
      </c>
      <c r="F672" s="27">
        <f>E672/Config!$B$1</f>
        <v/>
      </c>
      <c r="G672" s="24" t="inlineStr">
        <is>
          <t>Real</t>
        </is>
      </c>
    </row>
    <row r="673" ht="15" customHeight="1" s="19">
      <c r="A673" s="24" t="n">
        <v>6995</v>
      </c>
      <c r="B673" s="25" t="inlineStr">
        <is>
          <t>Soporte para Sistemas de Big Data</t>
        </is>
      </c>
      <c r="C673" s="24" t="inlineStr">
        <is>
          <t>Business Intelligence</t>
        </is>
      </c>
      <c r="D673" s="25" t="inlineStr">
        <is>
          <t>Soporte Big Data</t>
        </is>
      </c>
      <c r="E673" s="26" t="n">
        <v>4800</v>
      </c>
      <c r="F673" s="27">
        <f>E673/Config!$B$1</f>
        <v/>
      </c>
      <c r="G673" s="24" t="inlineStr">
        <is>
          <t>Real</t>
        </is>
      </c>
    </row>
    <row r="674" ht="15" customHeight="1" s="19">
      <c r="A674" s="24" t="n">
        <v>7013</v>
      </c>
      <c r="B674" s="25" t="inlineStr">
        <is>
          <t>Support BI Specialized</t>
        </is>
      </c>
      <c r="C674" s="24" t="inlineStr">
        <is>
          <t>Business Intelligence</t>
        </is>
      </c>
      <c r="D674" s="25" t="inlineStr">
        <is>
          <t>Soporte Especializado Bi</t>
        </is>
      </c>
      <c r="E674" s="26" t="n">
        <v>1400</v>
      </c>
      <c r="F674" s="27">
        <f>E674/Config!$B$1</f>
        <v/>
      </c>
      <c r="G674" s="24" t="inlineStr">
        <is>
          <t>Real</t>
        </is>
      </c>
    </row>
    <row r="675" ht="15" customHeight="1" s="19">
      <c r="A675" s="24" t="n">
        <v>7017</v>
      </c>
      <c r="B675" s="25" t="inlineStr">
        <is>
          <t>Support for BI</t>
        </is>
      </c>
      <c r="C675" s="24" t="inlineStr">
        <is>
          <t>Business Intelligence</t>
        </is>
      </c>
      <c r="D675" s="25" t="inlineStr">
        <is>
          <t>Soporte Bi</t>
        </is>
      </c>
      <c r="E675" s="26" t="n">
        <v>1300</v>
      </c>
      <c r="F675" s="27">
        <f>E675/Config!$B$1</f>
        <v/>
      </c>
      <c r="G675" s="24" t="inlineStr">
        <is>
          <t>Real</t>
        </is>
      </c>
    </row>
    <row r="676" ht="15" customHeight="1" s="19">
      <c r="A676" s="24" t="n">
        <v>5954</v>
      </c>
      <c r="B676" s="25" t="inlineStr">
        <is>
          <t>Transformación Digital</t>
        </is>
      </c>
      <c r="C676" s="24" t="inlineStr">
        <is>
          <t>Business Intelligence</t>
        </is>
      </c>
      <c r="D676" s="25" t="inlineStr">
        <is>
          <t>Transformación Digital</t>
        </is>
      </c>
      <c r="E676" s="26" t="n">
        <v>4500</v>
      </c>
      <c r="F676" s="27">
        <f>E676/Config!$B$1</f>
        <v/>
      </c>
      <c r="G676" s="28" t="inlineStr">
        <is>
          <t>Estimado (mediana de categoría)</t>
        </is>
      </c>
    </row>
    <row r="677" ht="15" customHeight="1" s="19">
      <c r="A677" s="24" t="n">
        <v>5959</v>
      </c>
      <c r="B677" s="25" t="inlineStr">
        <is>
          <t>Transformación Organizacional</t>
        </is>
      </c>
      <c r="C677" s="24" t="inlineStr">
        <is>
          <t>Business Intelligence</t>
        </is>
      </c>
      <c r="D677" s="25" t="inlineStr">
        <is>
          <t>Transformación Organizacional</t>
        </is>
      </c>
      <c r="E677" s="26" t="n">
        <v>4500</v>
      </c>
      <c r="F677" s="27">
        <f>E677/Config!$B$1</f>
        <v/>
      </c>
      <c r="G677" s="28" t="inlineStr">
        <is>
          <t>Estimado (mediana de categoría)</t>
        </is>
      </c>
    </row>
    <row r="678" ht="15" customHeight="1" s="19">
      <c r="A678" s="24" t="n">
        <v>6078</v>
      </c>
      <c r="B678" s="25" t="inlineStr">
        <is>
          <t>Transformación organizacional y desarrollo digital</t>
        </is>
      </c>
      <c r="C678" s="24" t="inlineStr">
        <is>
          <t>Business Intelligence</t>
        </is>
      </c>
      <c r="D678" s="25" t="inlineStr">
        <is>
          <t>Transformación Organizacional Y Desarrollo Digital.</t>
        </is>
      </c>
      <c r="E678" s="26" t="n">
        <v>4000</v>
      </c>
      <c r="F678" s="27">
        <f>E678/Config!$B$1</f>
        <v/>
      </c>
      <c r="G678" s="24" t="inlineStr">
        <is>
          <t>Real</t>
        </is>
      </c>
    </row>
    <row r="679" ht="15" customHeight="1" s="19">
      <c r="A679" s="24" t="n">
        <v>6738</v>
      </c>
      <c r="B679" s="25" t="inlineStr">
        <is>
          <t>Visualización Avanzada de Datos</t>
        </is>
      </c>
      <c r="C679" s="24" t="inlineStr">
        <is>
          <t>Business Intelligence</t>
        </is>
      </c>
      <c r="D679" s="25" t="inlineStr">
        <is>
          <t>Visualización Avanzada</t>
        </is>
      </c>
      <c r="E679" s="26" t="n">
        <v>2400</v>
      </c>
      <c r="F679" s="27">
        <f>E679/Config!$B$1</f>
        <v/>
      </c>
      <c r="G679" s="24" t="inlineStr">
        <is>
          <t>Real</t>
        </is>
      </c>
    </row>
    <row r="680" ht="15" customHeight="1" s="19">
      <c r="A680" s="24" t="n">
        <v>6830</v>
      </c>
      <c r="B680" s="25" t="inlineStr">
        <is>
          <t>Análisis de Riesgos de Ciberseguridad</t>
        </is>
      </c>
      <c r="C680" s="24" t="inlineStr">
        <is>
          <t>Ciberseguridad</t>
        </is>
      </c>
      <c r="D680" s="25" t="inlineStr">
        <is>
          <t>Análisis De Riesgos De Seguridad.</t>
        </is>
      </c>
      <c r="E680" s="26" t="n">
        <v>1800</v>
      </c>
      <c r="F680" s="27">
        <f>E680/Config!$B$1</f>
        <v/>
      </c>
      <c r="G680" s="24" t="inlineStr">
        <is>
          <t>Real</t>
        </is>
      </c>
    </row>
    <row r="681" ht="15" customHeight="1" s="19">
      <c r="A681" s="24" t="n">
        <v>6831</v>
      </c>
      <c r="B681" s="25" t="inlineStr">
        <is>
          <t>Análisis de Riesgos en Ciberseguridad</t>
        </is>
      </c>
      <c r="C681" s="24" t="inlineStr">
        <is>
          <t>Ciberseguridad</t>
        </is>
      </c>
      <c r="D681" s="25" t="inlineStr">
        <is>
          <t>Análisis De Vulnerabilidades.</t>
        </is>
      </c>
      <c r="E681" s="26" t="n">
        <v>1800</v>
      </c>
      <c r="F681" s="27">
        <f>E681/Config!$B$1</f>
        <v/>
      </c>
      <c r="G681" s="24" t="inlineStr">
        <is>
          <t>Real</t>
        </is>
      </c>
    </row>
    <row r="682" ht="15" customHeight="1" s="19">
      <c r="A682" s="24" t="n">
        <v>6823</v>
      </c>
      <c r="B682" s="25" t="inlineStr">
        <is>
          <t>Análisis de riesgos avanzado (mensual)</t>
        </is>
      </c>
      <c r="C682" s="24" t="inlineStr">
        <is>
          <t>Ciberseguridad</t>
        </is>
      </c>
      <c r="D682" s="25" t="n"/>
      <c r="E682" s="26" t="n">
        <v>1</v>
      </c>
      <c r="F682" s="27">
        <f>E682/Config!$B$1</f>
        <v/>
      </c>
      <c r="G682" s="24" t="inlineStr">
        <is>
          <t>Real</t>
        </is>
      </c>
    </row>
    <row r="683" ht="15" customHeight="1" s="19">
      <c r="A683" s="24" t="n">
        <v>6753</v>
      </c>
      <c r="B683" s="25" t="inlineStr">
        <is>
          <t>Auditoría de Ciberseguridad</t>
        </is>
      </c>
      <c r="C683" s="24" t="inlineStr">
        <is>
          <t>Ciberseguridad</t>
        </is>
      </c>
      <c r="D683" s="25" t="inlineStr">
        <is>
          <t>Auditoría De Ciberseguridad</t>
        </is>
      </c>
      <c r="E683" s="26" t="n">
        <v>3500</v>
      </c>
      <c r="F683" s="27">
        <f>E683/Config!$B$1</f>
        <v/>
      </c>
      <c r="G683" s="24" t="inlineStr">
        <is>
          <t>Real</t>
        </is>
      </c>
    </row>
    <row r="684" ht="15" customHeight="1" s="19">
      <c r="A684" s="24" t="n">
        <v>6748</v>
      </c>
      <c r="B684" s="25" t="inlineStr">
        <is>
          <t>Auditoría de Seguridad</t>
        </is>
      </c>
      <c r="C684" s="24" t="inlineStr">
        <is>
          <t>Ciberseguridad</t>
        </is>
      </c>
      <c r="D684" s="25" t="inlineStr">
        <is>
          <t>Auditoría De Seguridad</t>
        </is>
      </c>
      <c r="E684" s="26" t="n">
        <v>900</v>
      </c>
      <c r="F684" s="27">
        <f>E684/Config!$B$1</f>
        <v/>
      </c>
      <c r="G684" s="24" t="inlineStr">
        <is>
          <t>Real</t>
        </is>
      </c>
    </row>
    <row r="685" ht="15" customHeight="1" s="19">
      <c r="A685" s="24" t="n">
        <v>5862</v>
      </c>
      <c r="B685" s="25" t="inlineStr">
        <is>
          <t>Auditoría de Seguridad Informática</t>
        </is>
      </c>
      <c r="C685" s="24" t="inlineStr">
        <is>
          <t>Ciberseguridad</t>
        </is>
      </c>
      <c r="D685" s="25" t="inlineStr">
        <is>
          <t>Auditoría De Seguridad Informática.</t>
        </is>
      </c>
      <c r="E685" s="26" t="n">
        <v>4500</v>
      </c>
      <c r="F685" s="27">
        <f>E685/Config!$B$1</f>
        <v/>
      </c>
      <c r="G685" s="24" t="inlineStr">
        <is>
          <t>Real</t>
        </is>
      </c>
    </row>
    <row r="686" ht="15" customHeight="1" s="19">
      <c r="A686" s="24" t="n">
        <v>7644</v>
      </c>
      <c r="B686" s="25" t="inlineStr">
        <is>
          <t>Auditoría de Seguridad Informática</t>
        </is>
      </c>
      <c r="C686" s="24" t="inlineStr">
        <is>
          <t>Ciberseguridad</t>
        </is>
      </c>
      <c r="D686" s="25" t="inlineStr">
        <is>
          <t>Auditoría De Seguridad Informática.</t>
        </is>
      </c>
      <c r="E686" s="26" t="n">
        <v>3400</v>
      </c>
      <c r="F686" s="27">
        <f>E686/Config!$B$1</f>
        <v/>
      </c>
      <c r="G686" s="28" t="inlineStr">
        <is>
          <t>Estimado (mediana de categoría)</t>
        </is>
      </c>
    </row>
    <row r="687" ht="15" customHeight="1" s="19">
      <c r="A687" s="24" t="n">
        <v>6765</v>
      </c>
      <c r="B687" s="25" t="inlineStr">
        <is>
          <t>Auditoría de Seguridad en Big Data</t>
        </is>
      </c>
      <c r="C687" s="24" t="inlineStr">
        <is>
          <t>Ciberseguridad</t>
        </is>
      </c>
      <c r="D687" s="25" t="inlineStr">
        <is>
          <t>Seguridad En Big Data</t>
        </is>
      </c>
      <c r="E687" s="26" t="n">
        <v>4800</v>
      </c>
      <c r="F687" s="27">
        <f>E687/Config!$B$1</f>
        <v/>
      </c>
      <c r="G687" s="24" t="inlineStr">
        <is>
          <t>Real</t>
        </is>
      </c>
    </row>
    <row r="688" ht="23.25" customHeight="1" s="19">
      <c r="A688" s="24" t="n">
        <v>7514</v>
      </c>
      <c r="B688" s="25" t="inlineStr">
        <is>
          <t>Auditoría de Seguridad: Protege tu negocio con nuestra solución integral</t>
        </is>
      </c>
      <c r="C688" s="24" t="inlineStr">
        <is>
          <t>Ciberseguridad</t>
        </is>
      </c>
      <c r="D688" s="25" t="inlineStr">
        <is>
          <t>Auditoría de Seguridad: Protegiendo tu negocio de amenazas ocultas</t>
        </is>
      </c>
      <c r="E688" s="26" t="n">
        <v>3400</v>
      </c>
      <c r="F688" s="27">
        <f>E688/Config!$B$1</f>
        <v/>
      </c>
      <c r="G688" s="28" t="inlineStr">
        <is>
          <t>Estimado (mediana de categoría)</t>
        </is>
      </c>
    </row>
    <row r="689" ht="15" customHeight="1" s="19">
      <c r="A689" s="24" t="n">
        <v>5956</v>
      </c>
      <c r="B689" s="25" t="inlineStr">
        <is>
          <t>Ciberseguridad</t>
        </is>
      </c>
      <c r="C689" s="24" t="inlineStr">
        <is>
          <t>Ciberseguridad</t>
        </is>
      </c>
      <c r="D689" s="25" t="inlineStr">
        <is>
          <t>Ciberseguridad</t>
        </is>
      </c>
      <c r="E689" s="26" t="n">
        <v>3400</v>
      </c>
      <c r="F689" s="27">
        <f>E689/Config!$B$1</f>
        <v/>
      </c>
      <c r="G689" s="28" t="inlineStr">
        <is>
          <t>Estimado (mediana de categoría)</t>
        </is>
      </c>
    </row>
    <row r="690" ht="15" customHeight="1" s="19">
      <c r="A690" s="24" t="n">
        <v>5929</v>
      </c>
      <c r="B690" s="25" t="inlineStr">
        <is>
          <t>Ciberseguridad avanzada</t>
        </is>
      </c>
      <c r="C690" s="24" t="inlineStr">
        <is>
          <t>Ciberseguridad</t>
        </is>
      </c>
      <c r="D690" s="25" t="inlineStr">
        <is>
          <t>Ciberseguridad Avanzada.</t>
        </is>
      </c>
      <c r="E690" s="26" t="n">
        <v>7000</v>
      </c>
      <c r="F690" s="27">
        <f>E690/Config!$B$1</f>
        <v/>
      </c>
      <c r="G690" s="24" t="inlineStr">
        <is>
          <t>Real</t>
        </is>
      </c>
    </row>
    <row r="691" ht="15" customHeight="1" s="19">
      <c r="A691" s="24" t="n">
        <v>7711</v>
      </c>
      <c r="B691" s="25" t="inlineStr">
        <is>
          <t>Ciberseguridad avanzada</t>
        </is>
      </c>
      <c r="C691" s="24" t="inlineStr">
        <is>
          <t>Ciberseguridad</t>
        </is>
      </c>
      <c r="D691" s="25" t="inlineStr">
        <is>
          <t>Ciberseguridad Avanzada.</t>
        </is>
      </c>
      <c r="E691" s="26" t="n">
        <v>3400</v>
      </c>
      <c r="F691" s="27">
        <f>E691/Config!$B$1</f>
        <v/>
      </c>
      <c r="G691" s="28" t="inlineStr">
        <is>
          <t>Estimado (mediana de categoría)</t>
        </is>
      </c>
    </row>
    <row r="692" ht="15" customHeight="1" s="19">
      <c r="A692" s="24" t="n">
        <v>6090</v>
      </c>
      <c r="B692" s="25" t="inlineStr">
        <is>
          <t>Ciberseguridad y privacidad de datos</t>
        </is>
      </c>
      <c r="C692" s="24" t="inlineStr">
        <is>
          <t>Ciberseguridad</t>
        </is>
      </c>
      <c r="D692" s="25" t="inlineStr">
        <is>
          <t>Ciberseguridad Y Privacidad De Datos.</t>
        </is>
      </c>
      <c r="E692" s="26" t="n">
        <v>4500</v>
      </c>
      <c r="F692" s="27">
        <f>E692/Config!$B$1</f>
        <v/>
      </c>
      <c r="G692" s="24" t="inlineStr">
        <is>
          <t>Real</t>
        </is>
      </c>
    </row>
    <row r="693" ht="15" customHeight="1" s="19">
      <c r="A693" s="24" t="n">
        <v>7814</v>
      </c>
      <c r="B693" s="25" t="inlineStr">
        <is>
          <t>Ciberseguridad y privacidad de datos</t>
        </is>
      </c>
      <c r="C693" s="24" t="inlineStr">
        <is>
          <t>Ciberseguridad</t>
        </is>
      </c>
      <c r="D693" s="25" t="inlineStr">
        <is>
          <t>Ciberseguridad Y Privacidad De Datos.</t>
        </is>
      </c>
      <c r="E693" s="26" t="n">
        <v>3400</v>
      </c>
      <c r="F693" s="27">
        <f>E693/Config!$B$1</f>
        <v/>
      </c>
      <c r="G693" s="28" t="inlineStr">
        <is>
          <t>Estimado (mediana de categoría)</t>
        </is>
      </c>
    </row>
    <row r="694" ht="23.25" customHeight="1" s="19">
      <c r="A694" s="24" t="n">
        <v>7516</v>
      </c>
      <c r="B694" s="25" t="inlineStr">
        <is>
          <t>Configuración de Backup y Recuperación: Protege tus datos con facilidad</t>
        </is>
      </c>
      <c r="C694" s="24" t="inlineStr">
        <is>
          <t>Ciberseguridad</t>
        </is>
      </c>
      <c r="D694" s="25" t="inlineStr">
        <is>
          <t>Configuración de Backup y Recuperación: Protegiendo tus datos críticos</t>
        </is>
      </c>
      <c r="E694" s="26" t="n">
        <v>3400</v>
      </c>
      <c r="F694" s="27">
        <f>E694/Config!$B$1</f>
        <v/>
      </c>
      <c r="G694" s="28" t="inlineStr">
        <is>
          <t>Estimado (mediana de categoría)</t>
        </is>
      </c>
    </row>
    <row r="695" ht="15" customHeight="1" s="19">
      <c r="A695" s="24" t="n">
        <v>6023</v>
      </c>
      <c r="B695" s="25" t="inlineStr">
        <is>
          <t>Consultoría en Ciberseguridad</t>
        </is>
      </c>
      <c r="C695" s="24" t="inlineStr">
        <is>
          <t>Ciberseguridad</t>
        </is>
      </c>
      <c r="D695" s="25" t="inlineStr">
        <is>
          <t>Ciberseguridad</t>
        </is>
      </c>
      <c r="E695" s="26" t="n">
        <v>3400</v>
      </c>
      <c r="F695" s="27">
        <f>E695/Config!$B$1</f>
        <v/>
      </c>
      <c r="G695" s="28" t="inlineStr">
        <is>
          <t>Estimado (mediana de categoría)</t>
        </is>
      </c>
    </row>
    <row r="696" ht="23.25" customHeight="1" s="19">
      <c r="A696" s="24" t="n">
        <v>5879</v>
      </c>
      <c r="B696" s="25" t="inlineStr">
        <is>
          <t>Consultoría en Ciberseguridad Avanzada y Respuesta a Incidentes</t>
        </is>
      </c>
      <c r="C696" s="24" t="inlineStr">
        <is>
          <t>Ciberseguridad</t>
        </is>
      </c>
      <c r="D696" s="25" t="inlineStr">
        <is>
          <t>Ciberseguridad Avanzada.</t>
        </is>
      </c>
      <c r="E696" s="26" t="n">
        <v>7500</v>
      </c>
      <c r="F696" s="27">
        <f>E696/Config!$B$1</f>
        <v/>
      </c>
      <c r="G696" s="24" t="inlineStr">
        <is>
          <t>Real</t>
        </is>
      </c>
    </row>
    <row r="697" ht="23.25" customHeight="1" s="19">
      <c r="A697" s="24" t="n">
        <v>7661</v>
      </c>
      <c r="B697" s="25" t="inlineStr">
        <is>
          <t>Consultoría en Ciberseguridad Avanzada y Respuesta a Incidentes</t>
        </is>
      </c>
      <c r="C697" s="24" t="inlineStr">
        <is>
          <t>Ciberseguridad</t>
        </is>
      </c>
      <c r="D697" s="25" t="inlineStr">
        <is>
          <t>Ciberseguridad Avanzada.</t>
        </is>
      </c>
      <c r="E697" s="26" t="n">
        <v>3400</v>
      </c>
      <c r="F697" s="27">
        <f>E697/Config!$B$1</f>
        <v/>
      </c>
      <c r="G697" s="28" t="inlineStr">
        <is>
          <t>Estimado (mediana de categoría)</t>
        </is>
      </c>
    </row>
    <row r="698" ht="15" customHeight="1" s="19">
      <c r="A698" s="24" t="n">
        <v>6036</v>
      </c>
      <c r="B698" s="25" t="inlineStr">
        <is>
          <t>Consultoría en Ciberseguridad y Privacidad de Datos</t>
        </is>
      </c>
      <c r="C698" s="24" t="inlineStr">
        <is>
          <t>Ciberseguridad</t>
        </is>
      </c>
      <c r="D698" s="25" t="inlineStr">
        <is>
          <t>Ciberseguridad Y Cumplimiento Normativo</t>
        </is>
      </c>
      <c r="E698" s="26" t="n">
        <v>9500</v>
      </c>
      <c r="F698" s="27">
        <f>E698/Config!$B$1</f>
        <v/>
      </c>
      <c r="G698" s="24" t="inlineStr">
        <is>
          <t>Real</t>
        </is>
      </c>
    </row>
    <row r="699" ht="15" customHeight="1" s="19">
      <c r="A699" s="24" t="n">
        <v>7782</v>
      </c>
      <c r="B699" s="25" t="inlineStr">
        <is>
          <t>Consultoría en Ciberseguridad y Privacidad de Datos</t>
        </is>
      </c>
      <c r="C699" s="24" t="inlineStr">
        <is>
          <t>Ciberseguridad</t>
        </is>
      </c>
      <c r="D699" s="25" t="inlineStr">
        <is>
          <t>Ciberseguridad Y Cumplimiento Normativo</t>
        </is>
      </c>
      <c r="E699" s="26" t="n">
        <v>3400</v>
      </c>
      <c r="F699" s="27">
        <f>E699/Config!$B$1</f>
        <v/>
      </c>
      <c r="G699" s="28" t="inlineStr">
        <is>
          <t>Estimado (mediana de categoría)</t>
        </is>
      </c>
    </row>
    <row r="700" ht="23.25" customHeight="1" s="19">
      <c r="A700" s="24" t="n">
        <v>6013</v>
      </c>
      <c r="B700" s="25" t="inlineStr">
        <is>
          <t>Consultoría en Ciberseguridad y Respuesta a Incidentes a Nivel Empresarial</t>
        </is>
      </c>
      <c r="C700" s="24" t="inlineStr">
        <is>
          <t>Ciberseguridad</t>
        </is>
      </c>
      <c r="D700" s="25" t="inlineStr">
        <is>
          <t>Ciberseguridad</t>
        </is>
      </c>
      <c r="E700" s="26" t="n">
        <v>3400</v>
      </c>
      <c r="F700" s="27">
        <f>E700/Config!$B$1</f>
        <v/>
      </c>
      <c r="G700" s="28" t="inlineStr">
        <is>
          <t>Estimado (mediana de categoría)</t>
        </is>
      </c>
    </row>
    <row r="701" ht="23.25" customHeight="1" s="19">
      <c r="A701" s="24" t="n">
        <v>7776</v>
      </c>
      <c r="B701" s="25" t="inlineStr">
        <is>
          <t>Consultoría en Ciberseguridad y Respuesta a Incidentes a Nivel Empresarial</t>
        </is>
      </c>
      <c r="C701" s="24" t="inlineStr">
        <is>
          <t>Ciberseguridad</t>
        </is>
      </c>
      <c r="D701" s="25" t="inlineStr">
        <is>
          <t>Ciberseguridad</t>
        </is>
      </c>
      <c r="E701" s="26" t="n">
        <v>3400</v>
      </c>
      <c r="F701" s="27">
        <f>E701/Config!$B$1</f>
        <v/>
      </c>
      <c r="G701" s="28" t="inlineStr">
        <is>
          <t>Estimado (mediana de categoría)</t>
        </is>
      </c>
    </row>
    <row r="702" ht="15" customHeight="1" s="19">
      <c r="A702" s="24" t="n">
        <v>6222</v>
      </c>
      <c r="B702" s="25" t="inlineStr">
        <is>
          <t>Consultoría en Seguridad Informática</t>
        </is>
      </c>
      <c r="C702" s="24" t="inlineStr">
        <is>
          <t>Ciberseguridad</t>
        </is>
      </c>
      <c r="D702" s="25" t="inlineStr">
        <is>
          <t>Seguridad Informática Empresarial</t>
        </is>
      </c>
      <c r="E702" s="26" t="n">
        <v>7500</v>
      </c>
      <c r="F702" s="27">
        <f>E702/Config!$B$1</f>
        <v/>
      </c>
      <c r="G702" s="24" t="inlineStr">
        <is>
          <t>Real</t>
        </is>
      </c>
    </row>
    <row r="703" ht="15" customHeight="1" s="19">
      <c r="A703" s="24" t="n">
        <v>7946</v>
      </c>
      <c r="B703" s="25" t="inlineStr">
        <is>
          <t>Consultoría en Seguridad Informática</t>
        </is>
      </c>
      <c r="C703" s="24" t="inlineStr">
        <is>
          <t>Ciberseguridad</t>
        </is>
      </c>
      <c r="D703" s="25" t="inlineStr">
        <is>
          <t>Seguridad Informática Empresarial</t>
        </is>
      </c>
      <c r="E703" s="26" t="n">
        <v>3400</v>
      </c>
      <c r="F703" s="27">
        <f>E703/Config!$B$1</f>
        <v/>
      </c>
      <c r="G703" s="28" t="inlineStr">
        <is>
          <t>Estimado (mediana de categoría)</t>
        </is>
      </c>
    </row>
    <row r="704" ht="15" customHeight="1" s="19">
      <c r="A704" s="24" t="n">
        <v>6756</v>
      </c>
      <c r="B704" s="25" t="inlineStr">
        <is>
          <t>Consultoría en Seguridad de Información</t>
        </is>
      </c>
      <c r="C704" s="24" t="inlineStr">
        <is>
          <t>Ciberseguridad</t>
        </is>
      </c>
      <c r="D704" s="25" t="inlineStr">
        <is>
          <t>Consultoría En Seguridad De Información</t>
        </is>
      </c>
      <c r="E704" s="26" t="n">
        <v>5200</v>
      </c>
      <c r="F704" s="27">
        <f>E704/Config!$B$1</f>
        <v/>
      </c>
      <c r="G704" s="24" t="inlineStr">
        <is>
          <t>Real</t>
        </is>
      </c>
    </row>
    <row r="705" ht="23.25" customHeight="1" s="19">
      <c r="A705" s="24" t="n">
        <v>5976</v>
      </c>
      <c r="B705" s="25" t="inlineStr">
        <is>
          <t>Consultoría en ciberseguridad y cumplimiento normativo</t>
        </is>
      </c>
      <c r="C705" s="24" t="inlineStr">
        <is>
          <t>Ciberseguridad</t>
        </is>
      </c>
      <c r="D705" s="25" t="inlineStr">
        <is>
          <t>Consultoría En Ciberseguridad Y Cumplimiento Normativo</t>
        </is>
      </c>
      <c r="E705" s="26" t="n">
        <v>9900</v>
      </c>
      <c r="F705" s="27">
        <f>E705/Config!$B$1</f>
        <v/>
      </c>
      <c r="G705" s="24" t="inlineStr">
        <is>
          <t>Real</t>
        </is>
      </c>
    </row>
    <row r="706" ht="23.25" customHeight="1" s="19">
      <c r="A706" s="24" t="n">
        <v>7739</v>
      </c>
      <c r="B706" s="25" t="inlineStr">
        <is>
          <t>Consultoría en ciberseguridad y cumplimiento normativo</t>
        </is>
      </c>
      <c r="C706" s="24" t="inlineStr">
        <is>
          <t>Ciberseguridad</t>
        </is>
      </c>
      <c r="D706" s="25" t="inlineStr">
        <is>
          <t>Consultoría En Ciberseguridad Y Cumplimiento Normativo</t>
        </is>
      </c>
      <c r="E706" s="26" t="n">
        <v>3400</v>
      </c>
      <c r="F706" s="27">
        <f>E706/Config!$B$1</f>
        <v/>
      </c>
      <c r="G706" s="28" t="inlineStr">
        <is>
          <t>Estimado (mediana de categoría)</t>
        </is>
      </c>
    </row>
    <row r="707" ht="23.25" customHeight="1" s="19">
      <c r="A707" s="24" t="n">
        <v>5997</v>
      </c>
      <c r="B707" s="25" t="inlineStr">
        <is>
          <t>Consultoría en ciberseguridad y privacidad de datos para cumplir con regulaciones y estándares</t>
        </is>
      </c>
      <c r="C707" s="24" t="inlineStr">
        <is>
          <t>Ciberseguridad</t>
        </is>
      </c>
      <c r="D707" s="25" t="inlineStr">
        <is>
          <t>Consultoría</t>
        </is>
      </c>
      <c r="E707" s="26" t="n">
        <v>10800</v>
      </c>
      <c r="F707" s="27">
        <f>E707/Config!$B$1</f>
        <v/>
      </c>
      <c r="G707" s="24" t="inlineStr">
        <is>
          <t>Real</t>
        </is>
      </c>
    </row>
    <row r="708" ht="23.25" customHeight="1" s="19">
      <c r="A708" s="24" t="n">
        <v>7760</v>
      </c>
      <c r="B708" s="25" t="inlineStr">
        <is>
          <t>Consultoría en ciberseguridad y privacidad de datos para cumplir con regulaciones y estándares</t>
        </is>
      </c>
      <c r="C708" s="24" t="inlineStr">
        <is>
          <t>Ciberseguridad</t>
        </is>
      </c>
      <c r="D708" s="25" t="inlineStr">
        <is>
          <t>Consultoría</t>
        </is>
      </c>
      <c r="E708" s="26" t="n">
        <v>3400</v>
      </c>
      <c r="F708" s="27">
        <f>E708/Config!$B$1</f>
        <v/>
      </c>
      <c r="G708" s="28" t="inlineStr">
        <is>
          <t>Estimado (mediana de categoría)</t>
        </is>
      </c>
    </row>
    <row r="709" ht="34.5" customHeight="1" s="19">
      <c r="A709" s="24" t="n">
        <v>6364</v>
      </c>
      <c r="B709" s="25" t="inlineStr">
        <is>
          <t>Desarrollo de soluciones de ciberseguridad</t>
        </is>
      </c>
      <c r="C709" s="24" t="inlineStr">
        <is>
          <t>Ciberseguridad</t>
        </is>
      </c>
      <c r="D709" s="25" t="inlineStr">
        <is>
          <t>Servicios De Creación De Aplicaciones Y Sistemas De Ciberseguridad Para La Defensa Frente A Amenazas.</t>
        </is>
      </c>
      <c r="E709" s="26" t="n">
        <v>16200</v>
      </c>
      <c r="F709" s="27">
        <f>E709/Config!$B$1</f>
        <v/>
      </c>
      <c r="G709" s="24" t="inlineStr">
        <is>
          <t>Real</t>
        </is>
      </c>
    </row>
    <row r="710" ht="34.5" customHeight="1" s="19">
      <c r="A710" s="24" t="n">
        <v>8075</v>
      </c>
      <c r="B710" s="25" t="inlineStr">
        <is>
          <t>Desarrollo de soluciones de ciberseguridad</t>
        </is>
      </c>
      <c r="C710" s="24" t="inlineStr">
        <is>
          <t>Ciberseguridad</t>
        </is>
      </c>
      <c r="D710" s="25" t="inlineStr">
        <is>
          <t>Servicios De Creación De Aplicaciones Y Sistemas De Ciberseguridad Para La Defensa Frente A Amenazas.</t>
        </is>
      </c>
      <c r="E710" s="26" t="n">
        <v>3400</v>
      </c>
      <c r="F710" s="27">
        <f>E710/Config!$B$1</f>
        <v/>
      </c>
      <c r="G710" s="28" t="inlineStr">
        <is>
          <t>Estimado (mediana de categoría)</t>
        </is>
      </c>
    </row>
    <row r="711" ht="15" customHeight="1" s="19">
      <c r="A711" s="24" t="n">
        <v>6194</v>
      </c>
      <c r="B711" s="25" t="inlineStr">
        <is>
          <t>Detección de Fraude con IA</t>
        </is>
      </c>
      <c r="C711" s="24" t="inlineStr">
        <is>
          <t>Ciberseguridad</t>
        </is>
      </c>
      <c r="D711" s="25" t="inlineStr">
        <is>
          <t>Detección De Fraude</t>
        </is>
      </c>
      <c r="E711" s="26" t="n">
        <v>200</v>
      </c>
      <c r="F711" s="27">
        <f>E711/Config!$B$1</f>
        <v/>
      </c>
      <c r="G711" s="24" t="inlineStr">
        <is>
          <t>Real</t>
        </is>
      </c>
    </row>
    <row r="712" ht="15" customHeight="1" s="19">
      <c r="A712" s="24" t="n">
        <v>7918</v>
      </c>
      <c r="B712" s="25" t="inlineStr">
        <is>
          <t>Detección de Fraude con IA</t>
        </is>
      </c>
      <c r="C712" s="24" t="inlineStr">
        <is>
          <t>Ciberseguridad</t>
        </is>
      </c>
      <c r="D712" s="25" t="inlineStr">
        <is>
          <t>Detección De Fraude</t>
        </is>
      </c>
      <c r="E712" s="26" t="n">
        <v>3400</v>
      </c>
      <c r="F712" s="27">
        <f>E712/Config!$B$1</f>
        <v/>
      </c>
      <c r="G712" s="28" t="inlineStr">
        <is>
          <t>Estimado (mediana de categoría)</t>
        </is>
      </c>
    </row>
    <row r="713" ht="15" customHeight="1" s="19">
      <c r="A713" s="24" t="n">
        <v>6107</v>
      </c>
      <c r="B713" s="25" t="inlineStr">
        <is>
          <t>Gestión de Identidades y Accesos</t>
        </is>
      </c>
      <c r="C713" s="24" t="inlineStr">
        <is>
          <t>Ciberseguridad</t>
        </is>
      </c>
      <c r="D713" s="25" t="inlineStr">
        <is>
          <t>Gestión De Identidades Y Accesos</t>
        </is>
      </c>
      <c r="E713" s="26" t="n">
        <v>3200</v>
      </c>
      <c r="F713" s="27">
        <f>E713/Config!$B$1</f>
        <v/>
      </c>
      <c r="G713" s="24" t="inlineStr">
        <is>
          <t>Real</t>
        </is>
      </c>
    </row>
    <row r="714" ht="15" customHeight="1" s="19">
      <c r="A714" s="24" t="n">
        <v>7831</v>
      </c>
      <c r="B714" s="25" t="inlineStr">
        <is>
          <t>Gestión de Identidades y Accesos</t>
        </is>
      </c>
      <c r="C714" s="24" t="inlineStr">
        <is>
          <t>Ciberseguridad</t>
        </is>
      </c>
      <c r="D714" s="25" t="inlineStr">
        <is>
          <t>Gestión De Identidades Y Accesos</t>
        </is>
      </c>
      <c r="E714" s="26" t="n">
        <v>3400</v>
      </c>
      <c r="F714" s="27">
        <f>E714/Config!$B$1</f>
        <v/>
      </c>
      <c r="G714" s="28" t="inlineStr">
        <is>
          <t>Estimado (mediana de categoría)</t>
        </is>
      </c>
    </row>
    <row r="715" ht="15" customHeight="1" s="19">
      <c r="A715" s="24" t="n">
        <v>6826</v>
      </c>
      <c r="B715" s="25" t="inlineStr">
        <is>
          <t>Implementación De Medidas De Protección</t>
        </is>
      </c>
      <c r="C715" s="24" t="inlineStr">
        <is>
          <t>Ciberseguridad</t>
        </is>
      </c>
      <c r="D715" s="25" t="inlineStr">
        <is>
          <t>Implementación De Medidas De Protección.</t>
        </is>
      </c>
      <c r="E715" s="26" t="n">
        <v>2600</v>
      </c>
      <c r="F715" s="27">
        <f>E715/Config!$B$1</f>
        <v/>
      </c>
      <c r="G715" s="24" t="inlineStr">
        <is>
          <t>Real</t>
        </is>
      </c>
    </row>
    <row r="716" ht="15" customHeight="1" s="19">
      <c r="A716" s="24" t="n">
        <v>7585</v>
      </c>
      <c r="B716" s="25" t="inlineStr">
        <is>
          <t>Implementación de soluciones de seguridad IT</t>
        </is>
      </c>
      <c r="C716" s="24" t="inlineStr">
        <is>
          <t>Ciberseguridad</t>
        </is>
      </c>
      <c r="D716" s="25" t="inlineStr">
        <is>
          <t>Soluciones De Seguridad It</t>
        </is>
      </c>
      <c r="E716" s="26" t="n">
        <v>810</v>
      </c>
      <c r="F716" s="27">
        <f>E716/Config!$B$1</f>
        <v/>
      </c>
      <c r="G716" s="24" t="inlineStr">
        <is>
          <t>Real</t>
        </is>
      </c>
    </row>
    <row r="717" ht="15" customHeight="1" s="19">
      <c r="A717" s="24" t="n">
        <v>6829</v>
      </c>
      <c r="B717" s="25" t="inlineStr">
        <is>
          <t>Instalación de Sistemas de Alarmas</t>
        </is>
      </c>
      <c r="C717" s="24" t="inlineStr">
        <is>
          <t>Ciberseguridad</t>
        </is>
      </c>
      <c r="D717" s="25" t="inlineStr">
        <is>
          <t>Sistemas De Alarmas.</t>
        </is>
      </c>
      <c r="E717" s="26" t="n">
        <v>1800</v>
      </c>
      <c r="F717" s="27">
        <f>E717/Config!$B$1</f>
        <v/>
      </c>
      <c r="G717" s="24" t="inlineStr">
        <is>
          <t>Real</t>
        </is>
      </c>
    </row>
    <row r="718" ht="15" customHeight="1" s="19">
      <c r="A718" s="24" t="n">
        <v>6828</v>
      </c>
      <c r="B718" s="25" t="inlineStr">
        <is>
          <t>Instalación de Sistemas de Videovigilancia</t>
        </is>
      </c>
      <c r="C718" s="24" t="inlineStr">
        <is>
          <t>Ciberseguridad</t>
        </is>
      </c>
      <c r="D718" s="25" t="inlineStr">
        <is>
          <t>Sistemas De Videovigilancia.</t>
        </is>
      </c>
      <c r="E718" s="26" t="n">
        <v>2200</v>
      </c>
      <c r="F718" s="27">
        <f>E718/Config!$B$1</f>
        <v/>
      </c>
      <c r="G718" s="24" t="inlineStr">
        <is>
          <t>Real</t>
        </is>
      </c>
    </row>
    <row r="719" ht="15" customHeight="1" s="19">
      <c r="A719" s="24" t="n">
        <v>6827</v>
      </c>
      <c r="B719" s="25" t="inlineStr">
        <is>
          <t>Monitoreo Y Respuesta A Incidentes</t>
        </is>
      </c>
      <c r="C719" s="24" t="inlineStr">
        <is>
          <t>Ciberseguridad</t>
        </is>
      </c>
      <c r="D719" s="25" t="inlineStr">
        <is>
          <t>Monitoreo Y Respuesta A Incidentes.</t>
        </is>
      </c>
      <c r="E719" s="26" t="n">
        <v>1800</v>
      </c>
      <c r="F719" s="27">
        <f>E719/Config!$B$1</f>
        <v/>
      </c>
      <c r="G719" s="24" t="inlineStr">
        <is>
          <t>Real</t>
        </is>
      </c>
    </row>
    <row r="720" ht="15" customHeight="1" s="19">
      <c r="A720" s="24" t="n">
        <v>6832</v>
      </c>
      <c r="B720" s="25" t="inlineStr">
        <is>
          <t>Monitoreo y Respuesta a Incidentes de Seguridad</t>
        </is>
      </c>
      <c r="C720" s="24" t="inlineStr">
        <is>
          <t>Ciberseguridad</t>
        </is>
      </c>
      <c r="D720" s="25" t="inlineStr">
        <is>
          <t>Monitoreo Y Respuesta.</t>
        </is>
      </c>
      <c r="E720" s="26" t="n">
        <v>1600</v>
      </c>
      <c r="F720" s="27">
        <f>E720/Config!$B$1</f>
        <v/>
      </c>
      <c r="G720" s="24" t="inlineStr">
        <is>
          <t>Real</t>
        </is>
      </c>
    </row>
    <row r="721" ht="15" customHeight="1" s="19">
      <c r="A721" s="24" t="n">
        <v>6237</v>
      </c>
      <c r="B721" s="25" t="inlineStr">
        <is>
          <t>Plataforma de Monitoreo y Alertas</t>
        </is>
      </c>
      <c r="C721" s="24" t="inlineStr">
        <is>
          <t>Ciberseguridad</t>
        </is>
      </c>
      <c r="D721" s="25" t="inlineStr">
        <is>
          <t>Monitoreo Y Alertas Proactivas</t>
        </is>
      </c>
      <c r="E721" s="26" t="n">
        <v>320</v>
      </c>
      <c r="F721" s="27">
        <f>E721/Config!$B$1</f>
        <v/>
      </c>
      <c r="G721" s="24" t="inlineStr">
        <is>
          <t>Real</t>
        </is>
      </c>
    </row>
    <row r="722" ht="15" customHeight="1" s="19">
      <c r="A722" s="24" t="n">
        <v>7961</v>
      </c>
      <c r="B722" s="25" t="inlineStr">
        <is>
          <t>Plataforma de Monitoreo y Alertas</t>
        </is>
      </c>
      <c r="C722" s="24" t="inlineStr">
        <is>
          <t>Ciberseguridad</t>
        </is>
      </c>
      <c r="D722" s="25" t="inlineStr">
        <is>
          <t>Monitoreo Y Alertas Proactivas</t>
        </is>
      </c>
      <c r="E722" s="26" t="n">
        <v>3400</v>
      </c>
      <c r="F722" s="27">
        <f>E722/Config!$B$1</f>
        <v/>
      </c>
      <c r="G722" s="28" t="inlineStr">
        <is>
          <t>Estimado (mediana de categoría)</t>
        </is>
      </c>
    </row>
    <row r="723" ht="45.75" customHeight="1" s="19">
      <c r="A723" s="24" t="n">
        <v>7546</v>
      </c>
      <c r="B723" s="25" t="inlineStr">
        <is>
          <t>Respaldo y Recuperación de Datos: Protege tus archivos con nuestra solución integral</t>
        </is>
      </c>
      <c r="C723" s="24" t="inlineStr">
        <is>
          <t>Ciberseguridad</t>
        </is>
      </c>
      <c r="D723" s="25" t="inlineStr">
        <is>
          <t>Respaldo y Recuperación de Datos: tu salvavidas digital. Protege tus datos de pérdidas y disfruta de tranquilidad con respaldos automáticos, almacenamiento en la nube y recuperación rápida.</t>
        </is>
      </c>
      <c r="E723" s="26" t="n">
        <v>500</v>
      </c>
      <c r="F723" s="27">
        <f>E723/Config!$B$1</f>
        <v/>
      </c>
      <c r="G723" s="24" t="inlineStr">
        <is>
          <t>Real</t>
        </is>
      </c>
    </row>
    <row r="724" ht="15" customHeight="1" s="19">
      <c r="A724" s="24" t="n">
        <v>6824</v>
      </c>
      <c r="B724" s="25" t="inlineStr">
        <is>
          <t>Respuesta a incidentes básica</t>
        </is>
      </c>
      <c r="C724" s="24" t="inlineStr">
        <is>
          <t>Ciberseguridad</t>
        </is>
      </c>
      <c r="D724" s="25" t="n"/>
      <c r="E724" s="26" t="n">
        <v>1</v>
      </c>
      <c r="F724" s="27">
        <f>E724/Config!$B$1</f>
        <v/>
      </c>
      <c r="G724" s="24" t="inlineStr">
        <is>
          <t>Real</t>
        </is>
      </c>
    </row>
    <row r="725" ht="15" customHeight="1" s="19">
      <c r="A725" s="24" t="n">
        <v>6822</v>
      </c>
      <c r="B725" s="25" t="inlineStr">
        <is>
          <t>SSL Básico</t>
        </is>
      </c>
      <c r="C725" s="24" t="inlineStr">
        <is>
          <t>Ciberseguridad</t>
        </is>
      </c>
      <c r="D725" s="25" t="inlineStr">
        <is>
          <t>Certificado Ssl Básico.</t>
        </is>
      </c>
      <c r="E725" s="26" t="n">
        <v>40</v>
      </c>
      <c r="F725" s="27">
        <f>E725/Config!$B$1</f>
        <v/>
      </c>
      <c r="G725" s="24" t="inlineStr">
        <is>
          <t>Real</t>
        </is>
      </c>
    </row>
    <row r="726" ht="15" customHeight="1" s="19">
      <c r="A726" s="24" t="n">
        <v>6868</v>
      </c>
      <c r="B726" s="25" t="inlineStr">
        <is>
          <t>SSL Seguro</t>
        </is>
      </c>
      <c r="C726" s="24" t="inlineStr">
        <is>
          <t>Ciberseguridad</t>
        </is>
      </c>
      <c r="D726" s="25" t="inlineStr">
        <is>
          <t>Certificado Ssl Para Sitios Web.</t>
        </is>
      </c>
      <c r="E726" s="26" t="n">
        <v>70</v>
      </c>
      <c r="F726" s="27">
        <f>E726/Config!$B$1</f>
        <v/>
      </c>
      <c r="G726" s="24" t="inlineStr">
        <is>
          <t>Real</t>
        </is>
      </c>
    </row>
    <row r="727" ht="23.25" customHeight="1" s="19">
      <c r="A727" s="24" t="n">
        <v>7547</v>
      </c>
      <c r="B727" s="25" t="inlineStr">
        <is>
          <t>Seguridad Adicional: Tu escudo digital para un hogar protegido</t>
        </is>
      </c>
      <c r="C727" s="24" t="inlineStr">
        <is>
          <t>Ciberseguridad</t>
        </is>
      </c>
      <c r="D727" s="25" t="inlineStr">
        <is>
          <t>Seguridad Adicional: Protege tu hogar con tranquilidad</t>
        </is>
      </c>
      <c r="E727" s="26" t="n">
        <v>600</v>
      </c>
      <c r="F727" s="27">
        <f>E727/Config!$B$1</f>
        <v/>
      </c>
      <c r="G727" s="24" t="inlineStr">
        <is>
          <t>Real</t>
        </is>
      </c>
    </row>
    <row r="728" ht="15" customHeight="1" s="19">
      <c r="A728" s="24" t="n">
        <v>6113</v>
      </c>
      <c r="B728" s="25" t="inlineStr">
        <is>
          <t>Seguridad Cibernética Avanzada</t>
        </is>
      </c>
      <c r="C728" s="24" t="inlineStr">
        <is>
          <t>Ciberseguridad</t>
        </is>
      </c>
      <c r="D728" s="25" t="inlineStr">
        <is>
          <t>Seguridad Cibernética Avanzada</t>
        </is>
      </c>
      <c r="E728" s="26" t="n">
        <v>6500</v>
      </c>
      <c r="F728" s="27">
        <f>E728/Config!$B$1</f>
        <v/>
      </c>
      <c r="G728" s="24" t="inlineStr">
        <is>
          <t>Real</t>
        </is>
      </c>
    </row>
    <row r="729" ht="15" customHeight="1" s="19">
      <c r="A729" s="24" t="n">
        <v>7837</v>
      </c>
      <c r="B729" s="25" t="inlineStr">
        <is>
          <t>Seguridad Cibernética Avanzada</t>
        </is>
      </c>
      <c r="C729" s="24" t="inlineStr">
        <is>
          <t>Ciberseguridad</t>
        </is>
      </c>
      <c r="D729" s="25" t="inlineStr">
        <is>
          <t>Seguridad Cibernética Avanzada</t>
        </is>
      </c>
      <c r="E729" s="26" t="n">
        <v>3400</v>
      </c>
      <c r="F729" s="27">
        <f>E729/Config!$B$1</f>
        <v/>
      </c>
      <c r="G729" s="28" t="inlineStr">
        <is>
          <t>Estimado (mediana de categoría)</t>
        </is>
      </c>
    </row>
    <row r="730" ht="15" customHeight="1" s="19">
      <c r="A730" s="24" t="n">
        <v>6316</v>
      </c>
      <c r="B730" s="25" t="inlineStr">
        <is>
          <t>Seguridad informática</t>
        </is>
      </c>
      <c r="C730" s="24" t="inlineStr">
        <is>
          <t>Ciberseguridad</t>
        </is>
      </c>
      <c r="D730" s="25" t="inlineStr">
        <is>
          <t>Servicios De Seguridad Y Protección De Sistemas.</t>
        </is>
      </c>
      <c r="E730" s="26" t="n">
        <v>270</v>
      </c>
      <c r="F730" s="27">
        <f>E730/Config!$B$1</f>
        <v/>
      </c>
      <c r="G730" s="24" t="inlineStr">
        <is>
          <t>Real</t>
        </is>
      </c>
    </row>
    <row r="731" ht="15" customHeight="1" s="19">
      <c r="A731" s="24" t="n">
        <v>8027</v>
      </c>
      <c r="B731" s="25" t="inlineStr">
        <is>
          <t>Seguridad informática</t>
        </is>
      </c>
      <c r="C731" s="24" t="inlineStr">
        <is>
          <t>Ciberseguridad</t>
        </is>
      </c>
      <c r="D731" s="25" t="inlineStr">
        <is>
          <t>Servicios De Seguridad Y Protección De Sistemas.</t>
        </is>
      </c>
      <c r="E731" s="26" t="n">
        <v>3400</v>
      </c>
      <c r="F731" s="27">
        <f>E731/Config!$B$1</f>
        <v/>
      </c>
      <c r="G731" s="28" t="inlineStr">
        <is>
          <t>Estimado (mediana de categoría)</t>
        </is>
      </c>
    </row>
    <row r="732" ht="15" customHeight="1" s="19">
      <c r="A732" s="24" t="n">
        <v>6040</v>
      </c>
      <c r="B732" s="25" t="inlineStr">
        <is>
          <t>Servicios de Análisis de Riesgos y Ciberseguridad</t>
        </is>
      </c>
      <c r="C732" s="24" t="inlineStr">
        <is>
          <t>Ciberseguridad</t>
        </is>
      </c>
      <c r="D732" s="25" t="inlineStr">
        <is>
          <t>Análisis De Riesgos Y Ciberseguridad</t>
        </is>
      </c>
      <c r="E732" s="26" t="n">
        <v>8500</v>
      </c>
      <c r="F732" s="27">
        <f>E732/Config!$B$1</f>
        <v/>
      </c>
      <c r="G732" s="24" t="inlineStr">
        <is>
          <t>Real</t>
        </is>
      </c>
    </row>
    <row r="733" ht="15" customHeight="1" s="19">
      <c r="A733" s="24" t="n">
        <v>7786</v>
      </c>
      <c r="B733" s="25" t="inlineStr">
        <is>
          <t>Servicios de Análisis de Riesgos y Ciberseguridad</t>
        </is>
      </c>
      <c r="C733" s="24" t="inlineStr">
        <is>
          <t>Ciberseguridad</t>
        </is>
      </c>
      <c r="D733" s="25" t="inlineStr">
        <is>
          <t>Análisis De Riesgos Y Ciberseguridad</t>
        </is>
      </c>
      <c r="E733" s="26" t="n">
        <v>3400</v>
      </c>
      <c r="F733" s="27">
        <f>E733/Config!$B$1</f>
        <v/>
      </c>
      <c r="G733" s="28" t="inlineStr">
        <is>
          <t>Estimado (mediana de categoría)</t>
        </is>
      </c>
    </row>
    <row r="734" ht="15" customHeight="1" s="19">
      <c r="A734" s="24" t="n">
        <v>6684</v>
      </c>
      <c r="B734" s="25" t="inlineStr">
        <is>
          <t>Servicios de Seguridad Ecommerce</t>
        </is>
      </c>
      <c r="C734" s="24" t="inlineStr">
        <is>
          <t>Ciberseguridad</t>
        </is>
      </c>
      <c r="D734" s="25" t="inlineStr">
        <is>
          <t>Soluciones De Seguridad Para Ecommerce.</t>
        </is>
      </c>
      <c r="E734" s="26" t="n">
        <v>800</v>
      </c>
      <c r="F734" s="27">
        <f>E734/Config!$B$1</f>
        <v/>
      </c>
      <c r="G734" s="24" t="inlineStr">
        <is>
          <t>Real</t>
        </is>
      </c>
    </row>
    <row r="735" ht="34.5" customHeight="1" s="19">
      <c r="A735" s="24" t="n">
        <v>8385</v>
      </c>
      <c r="B735" s="25" t="inlineStr">
        <is>
          <t>Servicios de Seguridad para Ecommerce: Protege tu Tienda Virtual con Monitoreo de Fraude y Cumplimiento PCI DSS</t>
        </is>
      </c>
      <c r="C735" s="24" t="inlineStr">
        <is>
          <t>Ciberseguridad</t>
        </is>
      </c>
      <c r="D735" s="25" t="inlineStr">
        <is>
          <t>Servicios de Seguridad para Ecommerce: Protegiendo tu Negocio en Línea</t>
        </is>
      </c>
      <c r="E735" s="26" t="n">
        <v>3400</v>
      </c>
      <c r="F735" s="27">
        <f>E735/Config!$B$1</f>
        <v/>
      </c>
      <c r="G735" s="28" t="inlineStr">
        <is>
          <t>Estimado (mediana de categoría)</t>
        </is>
      </c>
    </row>
    <row r="736" ht="23.25" customHeight="1" s="19">
      <c r="A736" s="24" t="n">
        <v>6691</v>
      </c>
      <c r="B736" s="25" t="inlineStr">
        <is>
          <t>Servicios de Seguridad y Cumplimiento Ecommerce</t>
        </is>
      </c>
      <c r="C736" s="24" t="inlineStr">
        <is>
          <t>Ciberseguridad</t>
        </is>
      </c>
      <c r="D736" s="25" t="inlineStr">
        <is>
          <t>Servicios De Seguridad Y Cumplimiento Para Ecommerce.</t>
        </is>
      </c>
      <c r="E736" s="26" t="n">
        <v>1500</v>
      </c>
      <c r="F736" s="27">
        <f>E736/Config!$B$1</f>
        <v/>
      </c>
      <c r="G736" s="24" t="inlineStr">
        <is>
          <t>Real</t>
        </is>
      </c>
    </row>
    <row r="737" ht="45.75" customHeight="1" s="19">
      <c r="A737" s="24" t="n">
        <v>8392</v>
      </c>
      <c r="B737" s="25" t="inlineStr">
        <is>
          <t>Servicios de Seguridad y Cumplimiento para Ecommerce: Protege tu Tienda Virtual</t>
        </is>
      </c>
      <c r="C737" s="24" t="inlineStr">
        <is>
          <t>Ciberseguridad</t>
        </is>
      </c>
      <c r="D737" s="25" t="inlineStr">
        <is>
          <t>Servicios de Seguridad y Cumplimiento para Ecommerce: Protección integral para tu negocio online, garantizando la confianza del cliente y el cumplimiento normativo.</t>
        </is>
      </c>
      <c r="E737" s="26" t="n">
        <v>3400</v>
      </c>
      <c r="F737" s="27">
        <f>E737/Config!$B$1</f>
        <v/>
      </c>
      <c r="G737" s="28" t="inlineStr">
        <is>
          <t>Estimado (mediana de categoría)</t>
        </is>
      </c>
    </row>
    <row r="738" ht="23.25" customHeight="1" s="19">
      <c r="A738" s="24" t="n">
        <v>6004</v>
      </c>
      <c r="B738" s="25" t="inlineStr">
        <is>
          <t>Servicios de análisis de riesgos y ciberseguridad para identificar y mitigar amenazas emergentes</t>
        </is>
      </c>
      <c r="C738" s="24" t="inlineStr">
        <is>
          <t>Ciberseguridad</t>
        </is>
      </c>
      <c r="D738" s="25" t="inlineStr">
        <is>
          <t>Seguridad</t>
        </is>
      </c>
      <c r="E738" s="26" t="n">
        <v>16200</v>
      </c>
      <c r="F738" s="27">
        <f>E738/Config!$B$1</f>
        <v/>
      </c>
      <c r="G738" s="24" t="inlineStr">
        <is>
          <t>Real</t>
        </is>
      </c>
    </row>
    <row r="739" ht="23.25" customHeight="1" s="19">
      <c r="A739" s="24" t="n">
        <v>7767</v>
      </c>
      <c r="B739" s="25" t="inlineStr">
        <is>
          <t>Servicios de análisis de riesgos y ciberseguridad para identificar y mitigar amenazas emergentes</t>
        </is>
      </c>
      <c r="C739" s="24" t="inlineStr">
        <is>
          <t>Ciberseguridad</t>
        </is>
      </c>
      <c r="D739" s="25" t="inlineStr">
        <is>
          <t>Seguridad</t>
        </is>
      </c>
      <c r="E739" s="26" t="n">
        <v>3400</v>
      </c>
      <c r="F739" s="27">
        <f>E739/Config!$B$1</f>
        <v/>
      </c>
      <c r="G739" s="28" t="inlineStr">
        <is>
          <t>Estimado (mediana de categoría)</t>
        </is>
      </c>
    </row>
    <row r="740" ht="34.5" customHeight="1" s="19">
      <c r="A740" s="24" t="n">
        <v>8115</v>
      </c>
      <c r="B740" s="25" t="inlineStr">
        <is>
          <t>Servicios de auditoría y aseguramiento de calidad de software</t>
        </is>
      </c>
      <c r="C740" s="24" t="inlineStr">
        <is>
          <t>Ciberseguridad</t>
        </is>
      </c>
      <c r="D740" s="25" t="inlineStr">
        <is>
          <t>Servicios De Pruebas, Validación Y Aseguramiento De La Calidad En Proyectos De Desarrollo De Software.</t>
        </is>
      </c>
      <c r="E740" s="26" t="n">
        <v>3400</v>
      </c>
      <c r="F740" s="27">
        <f>E740/Config!$B$1</f>
        <v/>
      </c>
      <c r="G740" s="28" t="inlineStr">
        <is>
          <t>Estimado (mediana de categoría)</t>
        </is>
      </c>
    </row>
    <row r="741" ht="34.5" customHeight="1" s="19">
      <c r="A741" s="24" t="n">
        <v>8072</v>
      </c>
      <c r="B741" s="25" t="inlineStr">
        <is>
          <t>Servicios de auditoría y cumplimiento normativo</t>
        </is>
      </c>
      <c r="C741" s="24" t="inlineStr">
        <is>
          <t>Ciberseguridad</t>
        </is>
      </c>
      <c r="D741" s="25" t="inlineStr">
        <is>
          <t>Servicios De Consultoría Y Auditoría Para Garantizar El Cumplimiento De Requisitos Legales Y Normativos.</t>
        </is>
      </c>
      <c r="E741" s="26" t="n">
        <v>3400</v>
      </c>
      <c r="F741" s="27">
        <f>E741/Config!$B$1</f>
        <v/>
      </c>
      <c r="G741" s="28" t="inlineStr">
        <is>
          <t>Estimado (mediana de categoría)</t>
        </is>
      </c>
    </row>
    <row r="742" ht="23.25" customHeight="1" s="19">
      <c r="A742" s="24" t="n">
        <v>6327</v>
      </c>
      <c r="B742" s="25" t="inlineStr">
        <is>
          <t>Servicios de ciberseguridad</t>
        </is>
      </c>
      <c r="C742" s="24" t="inlineStr">
        <is>
          <t>Ciberseguridad</t>
        </is>
      </c>
      <c r="D742" s="25" t="inlineStr">
        <is>
          <t>Servicios Gestionados De Ciberseguridad Y Protección De La Información.</t>
        </is>
      </c>
      <c r="E742" s="26" t="n">
        <v>3600</v>
      </c>
      <c r="F742" s="27">
        <f>E742/Config!$B$1</f>
        <v/>
      </c>
      <c r="G742" s="24" t="inlineStr">
        <is>
          <t>Real</t>
        </is>
      </c>
    </row>
    <row r="743" ht="23.25" customHeight="1" s="19">
      <c r="A743" s="24" t="n">
        <v>8038</v>
      </c>
      <c r="B743" s="25" t="inlineStr">
        <is>
          <t>Servicios de ciberseguridad</t>
        </is>
      </c>
      <c r="C743" s="24" t="inlineStr">
        <is>
          <t>Ciberseguridad</t>
        </is>
      </c>
      <c r="D743" s="25" t="inlineStr">
        <is>
          <t>Servicios Gestionados De Ciberseguridad Y Protección De La Información.</t>
        </is>
      </c>
      <c r="E743" s="26" t="n">
        <v>3400</v>
      </c>
      <c r="F743" s="27">
        <f>E743/Config!$B$1</f>
        <v/>
      </c>
      <c r="G743" s="28" t="inlineStr">
        <is>
          <t>Estimado (mediana de categoría)</t>
        </is>
      </c>
    </row>
    <row r="744" ht="23.25" customHeight="1" s="19">
      <c r="A744" s="24" t="n">
        <v>6399</v>
      </c>
      <c r="B744" s="25" t="inlineStr">
        <is>
          <t>Servicios de ciberseguridad y protección de datos</t>
        </is>
      </c>
      <c r="C744" s="24" t="inlineStr">
        <is>
          <t>Ciberseguridad</t>
        </is>
      </c>
      <c r="D744" s="25" t="inlineStr">
        <is>
          <t>Servicios De Consultoría Y Despliegue De Soluciones De Ciberseguridad Para Empresas.</t>
        </is>
      </c>
      <c r="E744" s="26" t="n">
        <v>18000</v>
      </c>
      <c r="F744" s="27">
        <f>E744/Config!$B$1</f>
        <v/>
      </c>
      <c r="G744" s="24" t="inlineStr">
        <is>
          <t>Real</t>
        </is>
      </c>
    </row>
    <row r="745" ht="23.25" customHeight="1" s="19">
      <c r="A745" s="24" t="n">
        <v>8110</v>
      </c>
      <c r="B745" s="25" t="inlineStr">
        <is>
          <t>Servicios de ciberseguridad y protección de datos</t>
        </is>
      </c>
      <c r="C745" s="24" t="inlineStr">
        <is>
          <t>Ciberseguridad</t>
        </is>
      </c>
      <c r="D745" s="25" t="inlineStr">
        <is>
          <t>Servicios De Consultoría Y Despliegue De Soluciones De Ciberseguridad Para Empresas.</t>
        </is>
      </c>
      <c r="E745" s="26" t="n">
        <v>3400</v>
      </c>
      <c r="F745" s="27">
        <f>E745/Config!$B$1</f>
        <v/>
      </c>
      <c r="G745" s="28" t="inlineStr">
        <is>
          <t>Estimado (mediana de categoría)</t>
        </is>
      </c>
    </row>
    <row r="746" ht="34.5" customHeight="1" s="19">
      <c r="A746" s="24" t="n">
        <v>6387</v>
      </c>
      <c r="B746" s="25" t="inlineStr">
        <is>
          <t>Servicios de consultoría en ciberseguridad</t>
        </is>
      </c>
      <c r="C746" s="24" t="inlineStr">
        <is>
          <t>Ciberseguridad</t>
        </is>
      </c>
      <c r="D746" s="25" t="inlineStr">
        <is>
          <t>Servicios De Consultoría Especializada En Ciberseguridad Para La Protección De Activos Digitales.</t>
        </is>
      </c>
      <c r="E746" s="26" t="n">
        <v>14400</v>
      </c>
      <c r="F746" s="27">
        <f>E746/Config!$B$1</f>
        <v/>
      </c>
      <c r="G746" s="24" t="inlineStr">
        <is>
          <t>Real</t>
        </is>
      </c>
    </row>
    <row r="747" ht="34.5" customHeight="1" s="19">
      <c r="A747" s="24" t="n">
        <v>8098</v>
      </c>
      <c r="B747" s="25" t="inlineStr">
        <is>
          <t>Servicios de consultoría en ciberseguridad</t>
        </is>
      </c>
      <c r="C747" s="24" t="inlineStr">
        <is>
          <t>Ciberseguridad</t>
        </is>
      </c>
      <c r="D747" s="25" t="inlineStr">
        <is>
          <t>Servicios De Consultoría Especializada En Ciberseguridad Para La Protección De Activos Digitales.</t>
        </is>
      </c>
      <c r="E747" s="26" t="n">
        <v>3400</v>
      </c>
      <c r="F747" s="27">
        <f>E747/Config!$B$1</f>
        <v/>
      </c>
      <c r="G747" s="28" t="inlineStr">
        <is>
          <t>Estimado (mediana de categoría)</t>
        </is>
      </c>
    </row>
    <row r="748" ht="34.5" customHeight="1" s="19">
      <c r="A748" s="24" t="n">
        <v>6439</v>
      </c>
      <c r="B748" s="25" t="inlineStr">
        <is>
          <t>Servicios de implementación de soluciones de ciberseguridad avanzada</t>
        </is>
      </c>
      <c r="C748" s="24" t="inlineStr">
        <is>
          <t>Ciberseguridad</t>
        </is>
      </c>
      <c r="D748" s="25" t="inlineStr">
        <is>
          <t>Servicios De Consultoría Y Despliegue De Soluciones Avanzadas De Detección, Prevención Y Respuesta A Incidentes De Seguridad.</t>
        </is>
      </c>
      <c r="E748" s="26" t="n">
        <v>28800</v>
      </c>
      <c r="F748" s="27">
        <f>E748/Config!$B$1</f>
        <v/>
      </c>
      <c r="G748" s="24" t="inlineStr">
        <is>
          <t>Real</t>
        </is>
      </c>
    </row>
    <row r="749" ht="34.5" customHeight="1" s="19">
      <c r="A749" s="24" t="n">
        <v>8150</v>
      </c>
      <c r="B749" s="25" t="inlineStr">
        <is>
          <t>Servicios de implementación de soluciones de ciberseguridad avanzada</t>
        </is>
      </c>
      <c r="C749" s="24" t="inlineStr">
        <is>
          <t>Ciberseguridad</t>
        </is>
      </c>
      <c r="D749" s="25" t="inlineStr">
        <is>
          <t>Servicios De Consultoría Y Despliegue De Soluciones Avanzadas De Detección, Prevención Y Respuesta A Incidentes De Seguridad.</t>
        </is>
      </c>
      <c r="E749" s="26" t="n">
        <v>3400</v>
      </c>
      <c r="F749" s="27">
        <f>E749/Config!$B$1</f>
        <v/>
      </c>
      <c r="G749" s="28" t="inlineStr">
        <is>
          <t>Estimado (mediana de categoría)</t>
        </is>
      </c>
    </row>
    <row r="750" ht="45.75" customHeight="1" s="19">
      <c r="A750" s="24" t="n">
        <v>6447</v>
      </c>
      <c r="B750" s="25" t="inlineStr">
        <is>
          <t>Servicios de implementación de soluciones de ciberseguridad para infraestructuras industriales</t>
        </is>
      </c>
      <c r="C750" s="24" t="inlineStr">
        <is>
          <t>Ciberseguridad</t>
        </is>
      </c>
      <c r="D750" s="25" t="inlineStr">
        <is>
          <t>Servicios De Consultoría Y Despliegue De Soluciones De Detección, Prevención Y Respuesta A Amenazas Cibernéticas En Infraestructuras Críticas Y Operacionales.</t>
        </is>
      </c>
      <c r="E750" s="26" t="n">
        <v>28800</v>
      </c>
      <c r="F750" s="27">
        <f>E750/Config!$B$1</f>
        <v/>
      </c>
      <c r="G750" s="24" t="inlineStr">
        <is>
          <t>Real</t>
        </is>
      </c>
    </row>
    <row r="751" ht="45.75" customHeight="1" s="19">
      <c r="A751" s="24" t="n">
        <v>8158</v>
      </c>
      <c r="B751" s="25" t="inlineStr">
        <is>
          <t>Servicios de implementación de soluciones de ciberseguridad para infraestructuras industriales</t>
        </is>
      </c>
      <c r="C751" s="24" t="inlineStr">
        <is>
          <t>Ciberseguridad</t>
        </is>
      </c>
      <c r="D751" s="25" t="inlineStr">
        <is>
          <t>Servicios De Consultoría Y Despliegue De Soluciones De Detección, Prevención Y Respuesta A Amenazas Cibernéticas En Infraestructuras Críticas Y Operacionales.</t>
        </is>
      </c>
      <c r="E751" s="26" t="n">
        <v>3400</v>
      </c>
      <c r="F751" s="27">
        <f>E751/Config!$B$1</f>
        <v/>
      </c>
      <c r="G751" s="28" t="inlineStr">
        <is>
          <t>Estimado (mediana de categoría)</t>
        </is>
      </c>
    </row>
    <row r="752" ht="34.5" customHeight="1" s="19">
      <c r="A752" s="24" t="n">
        <v>6415</v>
      </c>
      <c r="B752" s="25" t="inlineStr">
        <is>
          <t>Servicios de implementación de soluciones de ciberseguridad y protección de datos</t>
        </is>
      </c>
      <c r="C752" s="24" t="inlineStr">
        <is>
          <t>Ciberseguridad</t>
        </is>
      </c>
      <c r="D752" s="25" t="inlineStr">
        <is>
          <t>Servicios De Consultoría Y Desarrollo De Arquitecturas De Seguridad Para La Protección De Datos Y Activos Digitales.</t>
        </is>
      </c>
      <c r="E752" s="26" t="n">
        <v>25200</v>
      </c>
      <c r="F752" s="27">
        <f>E752/Config!$B$1</f>
        <v/>
      </c>
      <c r="G752" s="24" t="inlineStr">
        <is>
          <t>Real</t>
        </is>
      </c>
    </row>
    <row r="753" ht="34.5" customHeight="1" s="19">
      <c r="A753" s="24" t="n">
        <v>8126</v>
      </c>
      <c r="B753" s="25" t="inlineStr">
        <is>
          <t>Servicios de implementación de soluciones de ciberseguridad y protección de datos</t>
        </is>
      </c>
      <c r="C753" s="24" t="inlineStr">
        <is>
          <t>Ciberseguridad</t>
        </is>
      </c>
      <c r="D753" s="25" t="inlineStr">
        <is>
          <t>Servicios De Consultoría Y Desarrollo De Arquitecturas De Seguridad Para La Protección De Datos Y Activos Digitales.</t>
        </is>
      </c>
      <c r="E753" s="26" t="n">
        <v>3400</v>
      </c>
      <c r="F753" s="27">
        <f>E753/Config!$B$1</f>
        <v/>
      </c>
      <c r="G753" s="28" t="inlineStr">
        <is>
          <t>Estimado (mediana de categoría)</t>
        </is>
      </c>
    </row>
    <row r="754" ht="45.75" customHeight="1" s="19">
      <c r="A754" s="24" t="n">
        <v>6425</v>
      </c>
      <c r="B754" s="25" t="inlineStr">
        <is>
          <t>Servicios de seguridad cibernética y monitoreo de amenazas</t>
        </is>
      </c>
      <c r="C754" s="24" t="inlineStr">
        <is>
          <t>Ciberseguridad</t>
        </is>
      </c>
      <c r="D754" s="25" t="inlineStr">
        <is>
          <t>Servicios De Consultoría Y Despliegue De Tecnologías De Seguridad De La Información, Detección De Amenazas Y Protección De Activos Digitales.</t>
        </is>
      </c>
      <c r="E754" s="26" t="n">
        <v>22500</v>
      </c>
      <c r="F754" s="27">
        <f>E754/Config!$B$1</f>
        <v/>
      </c>
      <c r="G754" s="24" t="inlineStr">
        <is>
          <t>Real</t>
        </is>
      </c>
    </row>
    <row r="755" ht="45.75" customHeight="1" s="19">
      <c r="A755" s="24" t="n">
        <v>8136</v>
      </c>
      <c r="B755" s="25" t="inlineStr">
        <is>
          <t>Servicios de seguridad cibernética y monitoreo de amenazas</t>
        </is>
      </c>
      <c r="C755" s="24" t="inlineStr">
        <is>
          <t>Ciberseguridad</t>
        </is>
      </c>
      <c r="D755" s="25" t="inlineStr">
        <is>
          <t>Servicios De Consultoría Y Despliegue De Tecnologías De Seguridad De La Información, Detección De Amenazas Y Protección De Activos Digitales.</t>
        </is>
      </c>
      <c r="E755" s="26" t="n">
        <v>3400</v>
      </c>
      <c r="F755" s="27">
        <f>E755/Config!$B$1</f>
        <v/>
      </c>
      <c r="G755" s="28" t="inlineStr">
        <is>
          <t>Estimado (mediana de categoría)</t>
        </is>
      </c>
    </row>
    <row r="756" ht="15" customHeight="1" s="19">
      <c r="A756" s="24" t="n">
        <v>6146</v>
      </c>
      <c r="B756" s="25" t="inlineStr">
        <is>
          <t>Soluciones de Seguridad Cibernética</t>
        </is>
      </c>
      <c r="C756" s="24" t="inlineStr">
        <is>
          <t>Ciberseguridad</t>
        </is>
      </c>
      <c r="D756" s="25" t="inlineStr">
        <is>
          <t>Seguridad Cibernética Empresarial.</t>
        </is>
      </c>
      <c r="E756" s="26" t="n">
        <v>1200</v>
      </c>
      <c r="F756" s="27">
        <f>E756/Config!$B$1</f>
        <v/>
      </c>
      <c r="G756" s="24" t="inlineStr">
        <is>
          <t>Real</t>
        </is>
      </c>
    </row>
    <row r="757" ht="15" customHeight="1" s="19">
      <c r="A757" s="24" t="n">
        <v>7870</v>
      </c>
      <c r="B757" s="25" t="inlineStr">
        <is>
          <t>Soluciones de Seguridad Cibernética</t>
        </is>
      </c>
      <c r="C757" s="24" t="inlineStr">
        <is>
          <t>Ciberseguridad</t>
        </is>
      </c>
      <c r="D757" s="25" t="inlineStr">
        <is>
          <t>Seguridad Cibernética Empresarial.</t>
        </is>
      </c>
      <c r="E757" s="26" t="n">
        <v>3400</v>
      </c>
      <c r="F757" s="27">
        <f>E757/Config!$B$1</f>
        <v/>
      </c>
      <c r="G757" s="28" t="inlineStr">
        <is>
          <t>Estimado (mediana de categoría)</t>
        </is>
      </c>
    </row>
    <row r="758" ht="15" customHeight="1" s="19">
      <c r="A758" s="24" t="n">
        <v>7012</v>
      </c>
      <c r="B758" s="25" t="inlineStr">
        <is>
          <t>Soporte Técnico en Sistemas de Video Vigilancia</t>
        </is>
      </c>
      <c r="C758" s="24" t="inlineStr">
        <is>
          <t>Ciberseguridad</t>
        </is>
      </c>
      <c r="D758" s="25" t="inlineStr">
        <is>
          <t>Soporte Video Vigilancia</t>
        </is>
      </c>
      <c r="E758" s="26" t="n">
        <v>5800</v>
      </c>
      <c r="F758" s="27">
        <f>E758/Config!$B$1</f>
        <v/>
      </c>
      <c r="G758" s="24" t="inlineStr">
        <is>
          <t>Real</t>
        </is>
      </c>
    </row>
    <row r="759" ht="15" customHeight="1" s="19">
      <c r="A759" s="24" t="n">
        <v>6752</v>
      </c>
      <c r="B759" s="25" t="inlineStr">
        <is>
          <t>Verificación de Seguridad en Big Data</t>
        </is>
      </c>
      <c r="C759" s="24" t="inlineStr">
        <is>
          <t>Ciberseguridad</t>
        </is>
      </c>
      <c r="D759" s="25" t="inlineStr">
        <is>
          <t>Auditoría De Seguridad En Big Data</t>
        </is>
      </c>
      <c r="E759" s="26" t="n">
        <v>2700</v>
      </c>
      <c r="F759" s="27">
        <f>E759/Config!$B$1</f>
        <v/>
      </c>
      <c r="G759" s="24" t="inlineStr">
        <is>
          <t>Real</t>
        </is>
      </c>
    </row>
    <row r="760" ht="23.25" customHeight="1" s="19">
      <c r="A760" s="24" t="n">
        <v>6277</v>
      </c>
      <c r="B760" s="25" t="inlineStr">
        <is>
          <t>1 vCore, RAM: 1gb, Disco: 25 GB SSD, Ancho de Banda: 1000 GB</t>
        </is>
      </c>
      <c r="C760" s="24" t="inlineStr">
        <is>
          <t>Cloud Computing</t>
        </is>
      </c>
      <c r="D760" s="25" t="inlineStr">
        <is>
          <t>Servidor Virtual 1 Vcore 1 Gb Ram 25 Gb Ssd 1000 Gb Ancho Banda</t>
        </is>
      </c>
      <c r="E760" s="26" t="n">
        <v>2000</v>
      </c>
      <c r="F760" s="27">
        <f>E760/Config!$B$1</f>
        <v/>
      </c>
      <c r="G760" s="28" t="inlineStr">
        <is>
          <t>Estimado (mediana de categoría)</t>
        </is>
      </c>
    </row>
    <row r="761" ht="15" customHeight="1" s="19">
      <c r="A761" s="24" t="n">
        <v>6850</v>
      </c>
      <c r="B761" s="25" t="inlineStr">
        <is>
          <t>Cloud Computing</t>
        </is>
      </c>
      <c r="C761" s="24" t="inlineStr">
        <is>
          <t>Cloud Computing</t>
        </is>
      </c>
      <c r="D761" s="25" t="n"/>
      <c r="E761" s="26" t="n">
        <v>6</v>
      </c>
      <c r="F761" s="27">
        <f>E761/Config!$B$1</f>
        <v/>
      </c>
      <c r="G761" s="24" t="inlineStr">
        <is>
          <t>Real</t>
        </is>
      </c>
    </row>
    <row r="762" ht="15" customHeight="1" s="19">
      <c r="A762" s="24" t="n">
        <v>5893</v>
      </c>
      <c r="B762" s="25" t="inlineStr">
        <is>
          <t>Cloud Storage Solution</t>
        </is>
      </c>
      <c r="C762" s="24" t="inlineStr">
        <is>
          <t>Cloud Computing</t>
        </is>
      </c>
      <c r="D762" s="25" t="inlineStr">
        <is>
          <t>Almacenamiento En La Nube</t>
        </is>
      </c>
      <c r="E762" s="26" t="n">
        <v>1200</v>
      </c>
      <c r="F762" s="27">
        <f>E762/Config!$B$1</f>
        <v/>
      </c>
      <c r="G762" s="24" t="inlineStr">
        <is>
          <t>Real</t>
        </is>
      </c>
    </row>
    <row r="763" ht="15" customHeight="1" s="19">
      <c r="A763" s="24" t="n">
        <v>7675</v>
      </c>
      <c r="B763" s="25" t="inlineStr">
        <is>
          <t>Cloud Storage Solution</t>
        </is>
      </c>
      <c r="C763" s="24" t="inlineStr">
        <is>
          <t>Cloud Computing</t>
        </is>
      </c>
      <c r="D763" s="25" t="inlineStr">
        <is>
          <t>Almacenamiento En La Nube</t>
        </is>
      </c>
      <c r="E763" s="26" t="n">
        <v>2000</v>
      </c>
      <c r="F763" s="27">
        <f>E763/Config!$B$1</f>
        <v/>
      </c>
      <c r="G763" s="28" t="inlineStr">
        <is>
          <t>Estimado (mediana de categoría)</t>
        </is>
      </c>
    </row>
    <row r="764" ht="15" customHeight="1" s="19">
      <c r="A764" s="24" t="n">
        <v>6155</v>
      </c>
      <c r="B764" s="25" t="inlineStr">
        <is>
          <t>Configuración de Redes</t>
        </is>
      </c>
      <c r="C764" s="24" t="inlineStr">
        <is>
          <t>Cloud Computing</t>
        </is>
      </c>
      <c r="D764" s="25" t="inlineStr">
        <is>
          <t>Configuración De Redes.</t>
        </is>
      </c>
      <c r="E764" s="26" t="n">
        <v>2000</v>
      </c>
      <c r="F764" s="27">
        <f>E764/Config!$B$1</f>
        <v/>
      </c>
      <c r="G764" s="24" t="inlineStr">
        <is>
          <t>Real</t>
        </is>
      </c>
    </row>
    <row r="765" ht="15" customHeight="1" s="19">
      <c r="A765" s="24" t="n">
        <v>7879</v>
      </c>
      <c r="B765" s="25" t="inlineStr">
        <is>
          <t>Configuración de Redes</t>
        </is>
      </c>
      <c r="C765" s="24" t="inlineStr">
        <is>
          <t>Cloud Computing</t>
        </is>
      </c>
      <c r="D765" s="25" t="inlineStr">
        <is>
          <t>Configuración De Redes.</t>
        </is>
      </c>
      <c r="E765" s="26" t="n">
        <v>2000</v>
      </c>
      <c r="F765" s="27">
        <f>E765/Config!$B$1</f>
        <v/>
      </c>
      <c r="G765" s="28" t="inlineStr">
        <is>
          <t>Estimado (mediana de categoría)</t>
        </is>
      </c>
    </row>
    <row r="766" ht="23.25" customHeight="1" s="19">
      <c r="A766" s="24" t="n">
        <v>6866</v>
      </c>
      <c r="B766" s="25" t="inlineStr">
        <is>
          <t>Consultoría Continua y Evaluación de Rendimiento en la Nube</t>
        </is>
      </c>
      <c r="C766" s="24" t="inlineStr">
        <is>
          <t>Cloud Computing</t>
        </is>
      </c>
      <c r="D766" s="25" t="n"/>
      <c r="E766" s="26" t="n">
        <v>1700</v>
      </c>
      <c r="F766" s="27">
        <f>E766/Config!$B$1</f>
        <v/>
      </c>
      <c r="G766" s="24" t="inlineStr">
        <is>
          <t>Real</t>
        </is>
      </c>
    </row>
    <row r="767" ht="15" customHeight="1" s="19">
      <c r="A767" s="24" t="n">
        <v>6217</v>
      </c>
      <c r="B767" s="25" t="inlineStr">
        <is>
          <t>Consultoría en Soluciones Cloud</t>
        </is>
      </c>
      <c r="C767" s="24" t="inlineStr">
        <is>
          <t>Cloud Computing</t>
        </is>
      </c>
      <c r="D767" s="25" t="inlineStr">
        <is>
          <t>Soluciones En La Nube</t>
        </is>
      </c>
      <c r="E767" s="26" t="n">
        <v>3200</v>
      </c>
      <c r="F767" s="27">
        <f>E767/Config!$B$1</f>
        <v/>
      </c>
      <c r="G767" s="24" t="inlineStr">
        <is>
          <t>Real</t>
        </is>
      </c>
    </row>
    <row r="768" ht="15" customHeight="1" s="19">
      <c r="A768" s="24" t="n">
        <v>7941</v>
      </c>
      <c r="B768" s="25" t="inlineStr">
        <is>
          <t>Consultoría en Soluciones Cloud</t>
        </is>
      </c>
      <c r="C768" s="24" t="inlineStr">
        <is>
          <t>Cloud Computing</t>
        </is>
      </c>
      <c r="D768" s="25" t="inlineStr">
        <is>
          <t>Soluciones En La Nube</t>
        </is>
      </c>
      <c r="E768" s="26" t="n">
        <v>2000</v>
      </c>
      <c r="F768" s="27">
        <f>E768/Config!$B$1</f>
        <v/>
      </c>
      <c r="G768" s="28" t="inlineStr">
        <is>
          <t>Estimado (mediana de categoría)</t>
        </is>
      </c>
    </row>
    <row r="769" ht="23.25" customHeight="1" s="19">
      <c r="A769" s="24" t="n">
        <v>6863</v>
      </c>
      <c r="B769" s="25" t="inlineStr">
        <is>
          <t>Consultoría y Optimización de Infraestructura en la Nube</t>
        </is>
      </c>
      <c r="C769" s="24" t="inlineStr">
        <is>
          <t>Cloud Computing</t>
        </is>
      </c>
      <c r="D769" s="25" t="n"/>
      <c r="E769" s="26" t="n">
        <v>1500</v>
      </c>
      <c r="F769" s="27">
        <f>E769/Config!$B$1</f>
        <v/>
      </c>
      <c r="G769" s="24" t="inlineStr">
        <is>
          <t>Real</t>
        </is>
      </c>
    </row>
    <row r="770" ht="15" customHeight="1" s="19">
      <c r="A770" s="24" t="n">
        <v>6922</v>
      </c>
      <c r="B770" s="25" t="inlineStr">
        <is>
          <t>Evaluaciones para Adopción de Cloud</t>
        </is>
      </c>
      <c r="C770" s="24" t="inlineStr">
        <is>
          <t>Cloud Computing</t>
        </is>
      </c>
      <c r="D770" s="25" t="inlineStr">
        <is>
          <t>Evaluaciones Para Adopción De Cloud.</t>
        </is>
      </c>
      <c r="E770" s="26" t="n">
        <v>1200</v>
      </c>
      <c r="F770" s="27">
        <f>E770/Config!$B$1</f>
        <v/>
      </c>
      <c r="G770" s="24" t="inlineStr">
        <is>
          <t>Real</t>
        </is>
      </c>
    </row>
    <row r="771" ht="23.25" customHeight="1" s="19">
      <c r="A771" s="24" t="n">
        <v>6920</v>
      </c>
      <c r="B771" s="25" t="inlineStr">
        <is>
          <t>Evaluaciones y Diagnósticos para Adopción de Tecnologías Cloud</t>
        </is>
      </c>
      <c r="C771" s="24" t="inlineStr">
        <is>
          <t>Cloud Computing</t>
        </is>
      </c>
      <c r="D771" s="25" t="inlineStr">
        <is>
          <t>Evaluación Para Adopción De Cloud.</t>
        </is>
      </c>
      <c r="E771" s="26" t="n">
        <v>2700</v>
      </c>
      <c r="F771" s="27">
        <f>E771/Config!$B$1</f>
        <v/>
      </c>
      <c r="G771" s="24" t="inlineStr">
        <is>
          <t>Real</t>
        </is>
      </c>
    </row>
    <row r="772" ht="15" customHeight="1" s="19">
      <c r="A772" s="24" t="n">
        <v>6859</v>
      </c>
      <c r="B772" s="25" t="inlineStr">
        <is>
          <t>Evaluación Avanzada de Infraestructura en la Nube</t>
        </is>
      </c>
      <c r="C772" s="24" t="inlineStr">
        <is>
          <t>Cloud Computing</t>
        </is>
      </c>
      <c r="D772" s="25" t="n"/>
      <c r="E772" s="26" t="n">
        <v>900</v>
      </c>
      <c r="F772" s="27">
        <f>E772/Config!$B$1</f>
        <v/>
      </c>
      <c r="G772" s="24" t="inlineStr">
        <is>
          <t>Real</t>
        </is>
      </c>
    </row>
    <row r="773" ht="15" customHeight="1" s="19">
      <c r="A773" s="24" t="n">
        <v>6855</v>
      </c>
      <c r="B773" s="25" t="inlineStr">
        <is>
          <t>Evaluación Inicial de Infraestructura en la Nube</t>
        </is>
      </c>
      <c r="C773" s="24" t="inlineStr">
        <is>
          <t>Cloud Computing</t>
        </is>
      </c>
      <c r="D773" s="25" t="n"/>
      <c r="E773" s="26" t="n">
        <v>600</v>
      </c>
      <c r="F773" s="27">
        <f>E773/Config!$B$1</f>
        <v/>
      </c>
      <c r="G773" s="24" t="inlineStr">
        <is>
          <t>Real</t>
        </is>
      </c>
    </row>
    <row r="774" ht="15" customHeight="1" s="19">
      <c r="A774" s="24" t="n">
        <v>6905</v>
      </c>
      <c r="B774" s="25" t="inlineStr">
        <is>
          <t>Evaluación de Tecnologías Cloud</t>
        </is>
      </c>
      <c r="C774" s="24" t="inlineStr">
        <is>
          <t>Cloud Computing</t>
        </is>
      </c>
      <c r="D774" s="25" t="inlineStr">
        <is>
          <t>Evaluación De Tecnologías En La Nube.</t>
        </is>
      </c>
      <c r="E774" s="26" t="n">
        <v>1200</v>
      </c>
      <c r="F774" s="27">
        <f>E774/Config!$B$1</f>
        <v/>
      </c>
      <c r="G774" s="24" t="inlineStr">
        <is>
          <t>Real</t>
        </is>
      </c>
    </row>
    <row r="775" ht="15" customHeight="1" s="19">
      <c r="A775" s="24" t="n">
        <v>6897</v>
      </c>
      <c r="B775" s="25" t="inlineStr">
        <is>
          <t>Evaluación para Adopción de Cloud</t>
        </is>
      </c>
      <c r="C775" s="24" t="inlineStr">
        <is>
          <t>Cloud Computing</t>
        </is>
      </c>
      <c r="D775" s="25" t="inlineStr">
        <is>
          <t>Evaluación De Tecnologías Cloud.</t>
        </is>
      </c>
      <c r="E775" s="26" t="n">
        <v>1700</v>
      </c>
      <c r="F775" s="27">
        <f>E775/Config!$B$1</f>
        <v/>
      </c>
      <c r="G775" s="24" t="inlineStr">
        <is>
          <t>Real</t>
        </is>
      </c>
    </row>
    <row r="776" ht="15" customHeight="1" s="19">
      <c r="A776" s="24" t="n">
        <v>6910</v>
      </c>
      <c r="B776" s="25" t="inlineStr">
        <is>
          <t>Evaluación para Adopción de Tecnologías Cloud</t>
        </is>
      </c>
      <c r="C776" s="24" t="inlineStr">
        <is>
          <t>Cloud Computing</t>
        </is>
      </c>
      <c r="D776" s="25" t="inlineStr">
        <is>
          <t>Evaluación De Tecnologías Cloud.</t>
        </is>
      </c>
      <c r="E776" s="26" t="n">
        <v>2200</v>
      </c>
      <c r="F776" s="27">
        <f>E776/Config!$B$1</f>
        <v/>
      </c>
      <c r="G776" s="24" t="inlineStr">
        <is>
          <t>Real</t>
        </is>
      </c>
    </row>
    <row r="777" ht="15" customHeight="1" s="19">
      <c r="A777" s="24" t="n">
        <v>6857</v>
      </c>
      <c r="B777" s="25" t="inlineStr">
        <is>
          <t>Gestión Básica de Servicios en la Nube</t>
        </is>
      </c>
      <c r="C777" s="24" t="inlineStr">
        <is>
          <t>Cloud Computing</t>
        </is>
      </c>
      <c r="D777" s="25" t="n"/>
      <c r="E777" s="26" t="n">
        <v>500</v>
      </c>
      <c r="F777" s="27">
        <f>E777/Config!$B$1</f>
        <v/>
      </c>
      <c r="G777" s="24" t="inlineStr">
        <is>
          <t>Real</t>
        </is>
      </c>
    </row>
    <row r="778" ht="15" customHeight="1" s="19">
      <c r="A778" s="24" t="n">
        <v>6864</v>
      </c>
      <c r="B778" s="25" t="inlineStr">
        <is>
          <t>Gestión Completa y Monitoreo Avanzado en la Nube</t>
        </is>
      </c>
      <c r="C778" s="24" t="inlineStr">
        <is>
          <t>Cloud Computing</t>
        </is>
      </c>
      <c r="D778" s="25" t="n"/>
      <c r="E778" s="26" t="n">
        <v>1400</v>
      </c>
      <c r="F778" s="27">
        <f>E778/Config!$B$1</f>
        <v/>
      </c>
      <c r="G778" s="24" t="inlineStr">
        <is>
          <t>Real</t>
        </is>
      </c>
    </row>
    <row r="779" ht="15" customHeight="1" s="19">
      <c r="A779" s="24" t="n">
        <v>6919</v>
      </c>
      <c r="B779" s="25" t="inlineStr">
        <is>
          <t>Gestión Y Monitoreo De Infraestructuras En La Nube</t>
        </is>
      </c>
      <c r="C779" s="24" t="inlineStr">
        <is>
          <t>Cloud Computing</t>
        </is>
      </c>
      <c r="D779" s="25" t="inlineStr">
        <is>
          <t>Gestión De Infraestructuras En La Nube.</t>
        </is>
      </c>
      <c r="E779" s="26" t="n">
        <v>2000</v>
      </c>
      <c r="F779" s="27">
        <f>E779/Config!$B$1</f>
        <v/>
      </c>
      <c r="G779" s="24" t="inlineStr">
        <is>
          <t>Real</t>
        </is>
      </c>
    </row>
    <row r="780" ht="15" customHeight="1" s="19">
      <c r="A780" s="24" t="n">
        <v>6923</v>
      </c>
      <c r="B780" s="25" t="inlineStr">
        <is>
          <t>Gestión de Infraestructuras en la Nube</t>
        </is>
      </c>
      <c r="C780" s="24" t="inlineStr">
        <is>
          <t>Cloud Computing</t>
        </is>
      </c>
      <c r="D780" s="25" t="inlineStr">
        <is>
          <t>Gestión Y Monitoreo De Infraestructuras.</t>
        </is>
      </c>
      <c r="E780" s="26" t="n">
        <v>1800</v>
      </c>
      <c r="F780" s="27">
        <f>E780/Config!$B$1</f>
        <v/>
      </c>
      <c r="G780" s="24" t="inlineStr">
        <is>
          <t>Real</t>
        </is>
      </c>
    </row>
    <row r="781" ht="15" customHeight="1" s="19">
      <c r="A781" s="24" t="n">
        <v>8026</v>
      </c>
      <c r="B781" s="25" t="inlineStr">
        <is>
          <t>Gestión de redes</t>
        </is>
      </c>
      <c r="C781" s="24" t="inlineStr">
        <is>
          <t>Cloud Computing</t>
        </is>
      </c>
      <c r="D781" s="25" t="inlineStr">
        <is>
          <t>Gestión Y Mantenimiento De Redes.</t>
        </is>
      </c>
      <c r="E781" s="26" t="n">
        <v>2000</v>
      </c>
      <c r="F781" s="27">
        <f>E781/Config!$B$1</f>
        <v/>
      </c>
      <c r="G781" s="28" t="inlineStr">
        <is>
          <t>Estimado (mediana de categoría)</t>
        </is>
      </c>
    </row>
    <row r="782" ht="15" customHeight="1" s="19">
      <c r="A782" s="24" t="n">
        <v>6861</v>
      </c>
      <c r="B782" s="25" t="inlineStr">
        <is>
          <t>Gestión y Monitoreo Continuo en la Nube</t>
        </is>
      </c>
      <c r="C782" s="24" t="inlineStr">
        <is>
          <t>Cloud Computing</t>
        </is>
      </c>
      <c r="D782" s="25" t="n"/>
      <c r="E782" s="26" t="n">
        <v>1000</v>
      </c>
      <c r="F782" s="27">
        <f>E782/Config!$B$1</f>
        <v/>
      </c>
      <c r="G782" s="24" t="inlineStr">
        <is>
          <t>Real</t>
        </is>
      </c>
    </row>
    <row r="783" ht="15" customHeight="1" s="19">
      <c r="A783" s="24" t="n">
        <v>6898</v>
      </c>
      <c r="B783" s="25" t="inlineStr">
        <is>
          <t>Gestión y Monitoreo de Infraestructura</t>
        </is>
      </c>
      <c r="C783" s="24" t="inlineStr">
        <is>
          <t>Cloud Computing</t>
        </is>
      </c>
      <c r="D783" s="25" t="inlineStr">
        <is>
          <t>Gestión De Infraestructuras Cloud.</t>
        </is>
      </c>
      <c r="E783" s="26" t="n">
        <v>2100</v>
      </c>
      <c r="F783" s="27">
        <f>E783/Config!$B$1</f>
        <v/>
      </c>
      <c r="G783" s="24" t="inlineStr">
        <is>
          <t>Real</t>
        </is>
      </c>
    </row>
    <row r="784" ht="15" customHeight="1" s="19">
      <c r="A784" s="24" t="n">
        <v>6906</v>
      </c>
      <c r="B784" s="25" t="inlineStr">
        <is>
          <t>Gestión y Monitoreo de Infraestructuras</t>
        </is>
      </c>
      <c r="C784" s="24" t="inlineStr">
        <is>
          <t>Cloud Computing</t>
        </is>
      </c>
      <c r="D784" s="25" t="inlineStr">
        <is>
          <t>Monitoreo De Infraestructuras En La Nube.</t>
        </is>
      </c>
      <c r="E784" s="26" t="n">
        <v>2200</v>
      </c>
      <c r="F784" s="27">
        <f>E784/Config!$B$1</f>
        <v/>
      </c>
      <c r="G784" s="24" t="inlineStr">
        <is>
          <t>Real</t>
        </is>
      </c>
    </row>
    <row r="785" ht="15" customHeight="1" s="19">
      <c r="A785" s="24" t="n">
        <v>6911</v>
      </c>
      <c r="B785" s="25" t="inlineStr">
        <is>
          <t>Gestión y Monitoreo de Infraestructuras Cloud</t>
        </is>
      </c>
      <c r="C785" s="24" t="inlineStr">
        <is>
          <t>Cloud Computing</t>
        </is>
      </c>
      <c r="D785" s="25" t="inlineStr">
        <is>
          <t>Monitoreo De Infraestructuras Cloud.</t>
        </is>
      </c>
      <c r="E785" s="26" t="n">
        <v>1600</v>
      </c>
      <c r="F785" s="27">
        <f>E785/Config!$B$1</f>
        <v/>
      </c>
      <c r="G785" s="24" t="inlineStr">
        <is>
          <t>Real</t>
        </is>
      </c>
    </row>
    <row r="786" ht="15" customHeight="1" s="19">
      <c r="A786" s="24" t="n">
        <v>6865</v>
      </c>
      <c r="B786" s="25" t="inlineStr">
        <is>
          <t>Implementación Integral de Seguridad en la Nube</t>
        </is>
      </c>
      <c r="C786" s="24" t="inlineStr">
        <is>
          <t>Cloud Computing</t>
        </is>
      </c>
      <c r="D786" s="25" t="n"/>
      <c r="E786" s="26" t="n">
        <v>1600</v>
      </c>
      <c r="F786" s="27">
        <f>E786/Config!$B$1</f>
        <v/>
      </c>
      <c r="G786" s="24" t="inlineStr">
        <is>
          <t>Real</t>
        </is>
      </c>
    </row>
    <row r="787" ht="34.5" customHeight="1" s="19">
      <c r="A787" s="24" t="n">
        <v>8420</v>
      </c>
      <c r="B787" s="25" t="inlineStr">
        <is>
          <t>Implementación de ERP en la Nube: Optimiza tu gestión empresarial con SaaS</t>
        </is>
      </c>
      <c r="C787" s="24" t="inlineStr">
        <is>
          <t>Cloud Computing</t>
        </is>
      </c>
      <c r="D787" s="25" t="inlineStr">
        <is>
          <t>Servicios de Implementación de Sistemas ERP en la Nube: Optimizando operaciones y obteniendo ventajas competitivas.</t>
        </is>
      </c>
      <c r="E787" s="26" t="n">
        <v>2000</v>
      </c>
      <c r="F787" s="27">
        <f>E787/Config!$B$1</f>
        <v/>
      </c>
      <c r="G787" s="28" t="inlineStr">
        <is>
          <t>Estimado (mediana de categoría)</t>
        </is>
      </c>
    </row>
    <row r="788" ht="15" customHeight="1" s="19">
      <c r="A788" s="24" t="n">
        <v>6862</v>
      </c>
      <c r="B788" s="25" t="inlineStr">
        <is>
          <t>Implementación de Seguridad Avanzada en la Nube</t>
        </is>
      </c>
      <c r="C788" s="24" t="inlineStr">
        <is>
          <t>Cloud Computing</t>
        </is>
      </c>
      <c r="D788" s="25" t="n"/>
      <c r="E788" s="26" t="n">
        <v>1100</v>
      </c>
      <c r="F788" s="27">
        <f>E788/Config!$B$1</f>
        <v/>
      </c>
      <c r="G788" s="24" t="inlineStr">
        <is>
          <t>Real</t>
        </is>
      </c>
    </row>
    <row r="789" ht="15" customHeight="1" s="19">
      <c r="A789" s="24" t="n">
        <v>6858</v>
      </c>
      <c r="B789" s="25" t="inlineStr">
        <is>
          <t>Implementación de Seguridad Básica en la Nube</t>
        </is>
      </c>
      <c r="C789" s="24" t="inlineStr">
        <is>
          <t>Cloud Computing</t>
        </is>
      </c>
      <c r="D789" s="25" t="n"/>
      <c r="E789" s="26" t="n">
        <v>700</v>
      </c>
      <c r="F789" s="27">
        <f>E789/Config!$B$1</f>
        <v/>
      </c>
      <c r="G789" s="24" t="inlineStr">
        <is>
          <t>Real</t>
        </is>
      </c>
    </row>
    <row r="790" ht="15" customHeight="1" s="19">
      <c r="A790" s="24" t="n">
        <v>7584</v>
      </c>
      <c r="B790" s="25" t="inlineStr">
        <is>
          <t>Implementación de soluciones de almacenamiento</t>
        </is>
      </c>
      <c r="C790" s="24" t="inlineStr">
        <is>
          <t>Cloud Computing</t>
        </is>
      </c>
      <c r="D790" s="25" t="inlineStr">
        <is>
          <t>Soluciones De Almacenamiento</t>
        </is>
      </c>
      <c r="E790" s="26" t="n">
        <v>720</v>
      </c>
      <c r="F790" s="27">
        <f>E790/Config!$B$1</f>
        <v/>
      </c>
      <c r="G790" s="24" t="inlineStr">
        <is>
          <t>Real</t>
        </is>
      </c>
    </row>
    <row r="791" ht="15" customHeight="1" s="19">
      <c r="A791" s="24" t="n">
        <v>7942</v>
      </c>
      <c r="B791" s="25" t="inlineStr">
        <is>
          <t>Integración de Sistemas</t>
        </is>
      </c>
      <c r="C791" s="24" t="inlineStr">
        <is>
          <t>Cloud Computing</t>
        </is>
      </c>
      <c r="D791" s="25" t="inlineStr">
        <is>
          <t>Integración De Sistemas Empresariales</t>
        </is>
      </c>
      <c r="E791" s="26" t="n">
        <v>2000</v>
      </c>
      <c r="F791" s="27">
        <f>E791/Config!$B$1</f>
        <v/>
      </c>
      <c r="G791" s="28" t="inlineStr">
        <is>
          <t>Estimado (mediana de categoría)</t>
        </is>
      </c>
    </row>
    <row r="792" ht="15" customHeight="1" s="19">
      <c r="A792" s="24" t="n">
        <v>7852</v>
      </c>
      <c r="B792" s="25" t="inlineStr">
        <is>
          <t>Integración de Sistemas y Aplicaciones</t>
        </is>
      </c>
      <c r="C792" s="24" t="inlineStr">
        <is>
          <t>Cloud Computing</t>
        </is>
      </c>
      <c r="D792" s="25" t="inlineStr">
        <is>
          <t>Integración De Sistemas</t>
        </is>
      </c>
      <c r="E792" s="26" t="n">
        <v>2000</v>
      </c>
      <c r="F792" s="27">
        <f>E792/Config!$B$1</f>
        <v/>
      </c>
      <c r="G792" s="28" t="inlineStr">
        <is>
          <t>Estimado (mediana de categoría)</t>
        </is>
      </c>
    </row>
    <row r="793" ht="15" customHeight="1" s="19">
      <c r="A793" s="24" t="n">
        <v>7832</v>
      </c>
      <c r="B793" s="25" t="inlineStr">
        <is>
          <t>Internet of Things (IoT)</t>
        </is>
      </c>
      <c r="C793" s="24" t="inlineStr">
        <is>
          <t>Cloud Computing</t>
        </is>
      </c>
      <c r="D793" s="25" t="inlineStr">
        <is>
          <t>Soluciones Iot</t>
        </is>
      </c>
      <c r="E793" s="26" t="n">
        <v>2000</v>
      </c>
      <c r="F793" s="27">
        <f>E793/Config!$B$1</f>
        <v/>
      </c>
      <c r="G793" s="28" t="inlineStr">
        <is>
          <t>Estimado (mediana de categoría)</t>
        </is>
      </c>
    </row>
    <row r="794" ht="15" customHeight="1" s="19">
      <c r="A794" s="24" t="n">
        <v>5958</v>
      </c>
      <c r="B794" s="25" t="inlineStr">
        <is>
          <t>Migración A La Nube</t>
        </is>
      </c>
      <c r="C794" s="24" t="inlineStr">
        <is>
          <t>Cloud Computing</t>
        </is>
      </c>
      <c r="D794" s="25" t="inlineStr">
        <is>
          <t>Migración A La Nube</t>
        </is>
      </c>
      <c r="E794" s="26" t="n">
        <v>2000</v>
      </c>
      <c r="F794" s="27">
        <f>E794/Config!$B$1</f>
        <v/>
      </c>
      <c r="G794" s="28" t="inlineStr">
        <is>
          <t>Estimado (mediana de categoría)</t>
        </is>
      </c>
    </row>
    <row r="795" ht="15" customHeight="1" s="19">
      <c r="A795" s="24" t="n">
        <v>6860</v>
      </c>
      <c r="B795" s="25" t="inlineStr">
        <is>
          <t>Migración Avanzada a la Nube</t>
        </is>
      </c>
      <c r="C795" s="24" t="inlineStr">
        <is>
          <t>Cloud Computing</t>
        </is>
      </c>
      <c r="D795" s="25" t="n"/>
      <c r="E795" s="26" t="n">
        <v>1200</v>
      </c>
      <c r="F795" s="27">
        <f>E795/Config!$B$1</f>
        <v/>
      </c>
      <c r="G795" s="24" t="inlineStr">
        <is>
          <t>Real</t>
        </is>
      </c>
    </row>
    <row r="796" ht="15" customHeight="1" s="19">
      <c r="A796" s="24" t="n">
        <v>6856</v>
      </c>
      <c r="B796" s="25" t="inlineStr">
        <is>
          <t>Migración Básica a la Nube</t>
        </is>
      </c>
      <c r="C796" s="24" t="inlineStr">
        <is>
          <t>Cloud Computing</t>
        </is>
      </c>
      <c r="D796" s="25" t="n"/>
      <c r="E796" s="26" t="n">
        <v>800</v>
      </c>
      <c r="F796" s="27">
        <f>E796/Config!$B$1</f>
        <v/>
      </c>
      <c r="G796" s="24" t="inlineStr">
        <is>
          <t>Real</t>
        </is>
      </c>
    </row>
    <row r="797" ht="15" customHeight="1" s="19">
      <c r="A797" s="24" t="n">
        <v>6918</v>
      </c>
      <c r="B797" s="25" t="inlineStr">
        <is>
          <t>Migración a la Nube y Soluciones de Almacenamiento</t>
        </is>
      </c>
      <c r="C797" s="24" t="inlineStr">
        <is>
          <t>Cloud Computing</t>
        </is>
      </c>
      <c r="D797" s="25" t="inlineStr">
        <is>
          <t>Migración Y Almacenamiento En La Nube.</t>
        </is>
      </c>
      <c r="E797" s="26" t="n">
        <v>3500</v>
      </c>
      <c r="F797" s="27">
        <f>E797/Config!$B$1</f>
        <v/>
      </c>
      <c r="G797" s="24" t="inlineStr">
        <is>
          <t>Real</t>
        </is>
      </c>
    </row>
    <row r="798" ht="23.25" customHeight="1" s="19">
      <c r="A798" s="24" t="n">
        <v>6077</v>
      </c>
      <c r="B798" s="25" t="inlineStr">
        <is>
          <t>Migración y modernización de infraestructura de TI</t>
        </is>
      </c>
      <c r="C798" s="24" t="inlineStr">
        <is>
          <t>Cloud Computing</t>
        </is>
      </c>
      <c r="D798" s="25" t="inlineStr">
        <is>
          <t>Migración Y Modernización De Infraestructura De Ti A La Nube.</t>
        </is>
      </c>
      <c r="E798" s="26" t="n">
        <v>4500</v>
      </c>
      <c r="F798" s="27">
        <f>E798/Config!$B$1</f>
        <v/>
      </c>
      <c r="G798" s="24" t="inlineStr">
        <is>
          <t>Real</t>
        </is>
      </c>
    </row>
    <row r="799" ht="23.25" customHeight="1" s="19">
      <c r="A799" s="24" t="n">
        <v>7801</v>
      </c>
      <c r="B799" s="25" t="inlineStr">
        <is>
          <t>Migración y modernización de infraestructura de TI</t>
        </is>
      </c>
      <c r="C799" s="24" t="inlineStr">
        <is>
          <t>Cloud Computing</t>
        </is>
      </c>
      <c r="D799" s="25" t="inlineStr">
        <is>
          <t>Migración Y Modernización De Infraestructura De Ti A La Nube.</t>
        </is>
      </c>
      <c r="E799" s="26" t="n">
        <v>2000</v>
      </c>
      <c r="F799" s="27">
        <f>E799/Config!$B$1</f>
        <v/>
      </c>
      <c r="G799" s="28" t="inlineStr">
        <is>
          <t>Estimado (mediana de categoría)</t>
        </is>
      </c>
    </row>
    <row r="800" ht="15" customHeight="1" s="19">
      <c r="A800" s="24" t="n">
        <v>6980</v>
      </c>
      <c r="B800" s="25" t="inlineStr">
        <is>
          <t>Monitoreo y Gestión de Infraestructura</t>
        </is>
      </c>
      <c r="C800" s="24" t="inlineStr">
        <is>
          <t>Cloud Computing</t>
        </is>
      </c>
      <c r="D800" s="25" t="inlineStr">
        <is>
          <t>Monitoreo De Infraestructura.</t>
        </is>
      </c>
      <c r="E800" s="26" t="n">
        <v>1800</v>
      </c>
      <c r="F800" s="27">
        <f>E800/Config!$B$1</f>
        <v/>
      </c>
      <c r="G800" s="24" t="inlineStr">
        <is>
          <t>Real</t>
        </is>
      </c>
    </row>
    <row r="801" ht="15" customHeight="1" s="19">
      <c r="A801" s="24" t="n">
        <v>6219</v>
      </c>
      <c r="B801" s="25" t="inlineStr">
        <is>
          <t>Optimización de Infraestructura TI</t>
        </is>
      </c>
      <c r="C801" s="24" t="inlineStr">
        <is>
          <t>Cloud Computing</t>
        </is>
      </c>
      <c r="D801" s="25" t="inlineStr">
        <is>
          <t>Mejora De Infraestructura Ti</t>
        </is>
      </c>
      <c r="E801" s="26" t="n">
        <v>4200</v>
      </c>
      <c r="F801" s="27">
        <f>E801/Config!$B$1</f>
        <v/>
      </c>
      <c r="G801" s="24" t="inlineStr">
        <is>
          <t>Real</t>
        </is>
      </c>
    </row>
    <row r="802" ht="15" customHeight="1" s="19">
      <c r="A802" s="24" t="n">
        <v>7943</v>
      </c>
      <c r="B802" s="25" t="inlineStr">
        <is>
          <t>Optimización de Infraestructura TI</t>
        </is>
      </c>
      <c r="C802" s="24" t="inlineStr">
        <is>
          <t>Cloud Computing</t>
        </is>
      </c>
      <c r="D802" s="25" t="inlineStr">
        <is>
          <t>Mejora De Infraestructura Ti</t>
        </is>
      </c>
      <c r="E802" s="26" t="n">
        <v>2000</v>
      </c>
      <c r="F802" s="27">
        <f>E802/Config!$B$1</f>
        <v/>
      </c>
      <c r="G802" s="28" t="inlineStr">
        <is>
          <t>Estimado (mediana de categoría)</t>
        </is>
      </c>
    </row>
    <row r="803" ht="15" customHeight="1" s="19">
      <c r="A803" s="24" t="n">
        <v>6214</v>
      </c>
      <c r="B803" s="25" t="inlineStr">
        <is>
          <t>Optimización de Recursos TI</t>
        </is>
      </c>
      <c r="C803" s="24" t="inlineStr">
        <is>
          <t>Cloud Computing</t>
        </is>
      </c>
      <c r="D803" s="25" t="inlineStr">
        <is>
          <t>Mejora De Recursos Tecnológicos</t>
        </is>
      </c>
      <c r="E803" s="26" t="n">
        <v>1800</v>
      </c>
      <c r="F803" s="27">
        <f>E803/Config!$B$1</f>
        <v/>
      </c>
      <c r="G803" s="24" t="inlineStr">
        <is>
          <t>Real</t>
        </is>
      </c>
    </row>
    <row r="804" ht="15" customHeight="1" s="19">
      <c r="A804" s="24" t="n">
        <v>7938</v>
      </c>
      <c r="B804" s="25" t="inlineStr">
        <is>
          <t>Optimización de Recursos TI</t>
        </is>
      </c>
      <c r="C804" s="24" t="inlineStr">
        <is>
          <t>Cloud Computing</t>
        </is>
      </c>
      <c r="D804" s="25" t="inlineStr">
        <is>
          <t>Mejora De Recursos Tecnológicos</t>
        </is>
      </c>
      <c r="E804" s="26" t="n">
        <v>2000</v>
      </c>
      <c r="F804" s="27">
        <f>E804/Config!$B$1</f>
        <v/>
      </c>
      <c r="G804" s="28" t="inlineStr">
        <is>
          <t>Estimado (mediana de categoría)</t>
        </is>
      </c>
    </row>
    <row r="805" ht="15" customHeight="1" s="19">
      <c r="A805" s="24" t="n">
        <v>6106</v>
      </c>
      <c r="B805" s="25" t="inlineStr">
        <is>
          <t>Optimización de Redes y Conectividad</t>
        </is>
      </c>
      <c r="C805" s="24" t="inlineStr">
        <is>
          <t>Cloud Computing</t>
        </is>
      </c>
      <c r="D805" s="25" t="inlineStr">
        <is>
          <t>Optimización De Redes</t>
        </is>
      </c>
      <c r="E805" s="26" t="n">
        <v>3800</v>
      </c>
      <c r="F805" s="27">
        <f>E805/Config!$B$1</f>
        <v/>
      </c>
      <c r="G805" s="24" t="inlineStr">
        <is>
          <t>Real</t>
        </is>
      </c>
    </row>
    <row r="806" ht="15" customHeight="1" s="19">
      <c r="A806" s="24" t="n">
        <v>7830</v>
      </c>
      <c r="B806" s="25" t="inlineStr">
        <is>
          <t>Optimización de Redes y Conectividad</t>
        </is>
      </c>
      <c r="C806" s="24" t="inlineStr">
        <is>
          <t>Cloud Computing</t>
        </is>
      </c>
      <c r="D806" s="25" t="inlineStr">
        <is>
          <t>Optimización De Redes</t>
        </is>
      </c>
      <c r="E806" s="26" t="n">
        <v>2000</v>
      </c>
      <c r="F806" s="27">
        <f>E806/Config!$B$1</f>
        <v/>
      </c>
      <c r="G806" s="28" t="inlineStr">
        <is>
          <t>Estimado (mediana de categoría)</t>
        </is>
      </c>
    </row>
    <row r="807" ht="15" customHeight="1" s="19">
      <c r="A807" s="24" t="n">
        <v>7556</v>
      </c>
      <c r="B807" s="25" t="inlineStr">
        <is>
          <t>Plataforma ERP en la nube</t>
        </is>
      </c>
      <c r="C807" s="24" t="inlineStr">
        <is>
          <t>Cloud Computing</t>
        </is>
      </c>
      <c r="D807" s="25" t="inlineStr">
        <is>
          <t>Erp En La Nube</t>
        </is>
      </c>
      <c r="E807" s="26" t="n">
        <v>2500</v>
      </c>
      <c r="F807" s="27">
        <f>E807/Config!$B$1</f>
        <v/>
      </c>
      <c r="G807" s="24" t="inlineStr">
        <is>
          <t>Real</t>
        </is>
      </c>
    </row>
    <row r="808" ht="15" customHeight="1" s="19">
      <c r="A808" s="24" t="n">
        <v>6230</v>
      </c>
      <c r="B808" s="25" t="inlineStr">
        <is>
          <t>Plataforma de Respaldo y Recuperación de Datos</t>
        </is>
      </c>
      <c r="C808" s="24" t="inlineStr">
        <is>
          <t>Cloud Computing</t>
        </is>
      </c>
      <c r="D808" s="25" t="inlineStr">
        <is>
          <t>Respaldo Y Recuperación De Datos</t>
        </is>
      </c>
      <c r="E808" s="26" t="n">
        <v>1350</v>
      </c>
      <c r="F808" s="27">
        <f>E808/Config!$B$1</f>
        <v/>
      </c>
      <c r="G808" s="24" t="inlineStr">
        <is>
          <t>Real</t>
        </is>
      </c>
    </row>
    <row r="809" ht="15" customHeight="1" s="19">
      <c r="A809" s="24" t="n">
        <v>7954</v>
      </c>
      <c r="B809" s="25" t="inlineStr">
        <is>
          <t>Plataforma de Respaldo y Recuperación de Datos</t>
        </is>
      </c>
      <c r="C809" s="24" t="inlineStr">
        <is>
          <t>Cloud Computing</t>
        </is>
      </c>
      <c r="D809" s="25" t="inlineStr">
        <is>
          <t>Respaldo Y Recuperación De Datos</t>
        </is>
      </c>
      <c r="E809" s="26" t="n">
        <v>2000</v>
      </c>
      <c r="F809" s="27">
        <f>E809/Config!$B$1</f>
        <v/>
      </c>
      <c r="G809" s="28" t="inlineStr">
        <is>
          <t>Estimado (mediana de categoría)</t>
        </is>
      </c>
    </row>
    <row r="810" ht="15" customHeight="1" s="19">
      <c r="A810" s="24" t="n">
        <v>6104</v>
      </c>
      <c r="B810" s="25" t="inlineStr">
        <is>
          <t>Respaldo y Recuperación de Datos</t>
        </is>
      </c>
      <c r="C810" s="24" t="inlineStr">
        <is>
          <t>Cloud Computing</t>
        </is>
      </c>
      <c r="D810" s="25" t="inlineStr">
        <is>
          <t>Respaldo Y Recuperación</t>
        </is>
      </c>
      <c r="E810" s="26" t="n">
        <v>2500</v>
      </c>
      <c r="F810" s="27">
        <f>E810/Config!$B$1</f>
        <v/>
      </c>
      <c r="G810" s="24" t="inlineStr">
        <is>
          <t>Real</t>
        </is>
      </c>
    </row>
    <row r="811" ht="15" customHeight="1" s="19">
      <c r="A811" s="24" t="n">
        <v>7828</v>
      </c>
      <c r="B811" s="25" t="inlineStr">
        <is>
          <t>Respaldo y Recuperación de Datos</t>
        </is>
      </c>
      <c r="C811" s="24" t="inlineStr">
        <is>
          <t>Cloud Computing</t>
        </is>
      </c>
      <c r="D811" s="25" t="inlineStr">
        <is>
          <t>Respaldo Y Recuperación</t>
        </is>
      </c>
      <c r="E811" s="26" t="n">
        <v>2000</v>
      </c>
      <c r="F811" s="27">
        <f>E811/Config!$B$1</f>
        <v/>
      </c>
      <c r="G811" s="28" t="inlineStr">
        <is>
          <t>Estimado (mediana de categoría)</t>
        </is>
      </c>
    </row>
    <row r="812" ht="23.25" customHeight="1" s="19">
      <c r="A812" s="24" t="n">
        <v>8022</v>
      </c>
      <c r="B812" s="25" t="inlineStr">
        <is>
          <t>Respaldo y recuperación</t>
        </is>
      </c>
      <c r="C812" s="24" t="inlineStr">
        <is>
          <t>Cloud Computing</t>
        </is>
      </c>
      <c r="D812" s="25" t="inlineStr">
        <is>
          <t>Servicios De Respaldo Y Recuperación De Información.</t>
        </is>
      </c>
      <c r="E812" s="26" t="n">
        <v>2000</v>
      </c>
      <c r="F812" s="27">
        <f>E812/Config!$B$1</f>
        <v/>
      </c>
      <c r="G812" s="28" t="inlineStr">
        <is>
          <t>Estimado (mediana de categoría)</t>
        </is>
      </c>
    </row>
    <row r="813" ht="15" customHeight="1" s="19">
      <c r="A813" s="24" t="n">
        <v>6177</v>
      </c>
      <c r="B813" s="25" t="inlineStr">
        <is>
          <t>Servicios de Alojamiento y Cloud</t>
        </is>
      </c>
      <c r="C813" s="24" t="inlineStr">
        <is>
          <t>Cloud Computing</t>
        </is>
      </c>
      <c r="D813" s="25" t="inlineStr">
        <is>
          <t>Servicios De Alojamiento Y Cloud</t>
        </is>
      </c>
      <c r="E813" s="26" t="n">
        <v>5000</v>
      </c>
      <c r="F813" s="27">
        <f>E813/Config!$B$1</f>
        <v/>
      </c>
      <c r="G813" s="24" t="inlineStr">
        <is>
          <t>Real</t>
        </is>
      </c>
    </row>
    <row r="814" ht="23.25" customHeight="1" s="19">
      <c r="A814" s="24" t="n">
        <v>6719</v>
      </c>
      <c r="B814" s="25" t="inlineStr">
        <is>
          <t>Servicios de Implementación de ERP en la Nube</t>
        </is>
      </c>
      <c r="C814" s="24" t="inlineStr">
        <is>
          <t>Cloud Computing</t>
        </is>
      </c>
      <c r="D814" s="25" t="inlineStr">
        <is>
          <t>Servicios De Implementación De Sistemas Erp En La Nube.</t>
        </is>
      </c>
      <c r="E814" s="26" t="n">
        <v>15000</v>
      </c>
      <c r="F814" s="27">
        <f>E814/Config!$B$1</f>
        <v/>
      </c>
      <c r="G814" s="24" t="inlineStr">
        <is>
          <t>Real</t>
        </is>
      </c>
    </row>
    <row r="815" ht="23.25" customHeight="1" s="19">
      <c r="A815" s="24" t="n">
        <v>6043</v>
      </c>
      <c r="B815" s="25" t="inlineStr">
        <is>
          <t>Servicios de Migración y Modernización de Infraestructura de TI</t>
        </is>
      </c>
      <c r="C815" s="24" t="inlineStr">
        <is>
          <t>Cloud Computing</t>
        </is>
      </c>
      <c r="D815" s="25" t="inlineStr">
        <is>
          <t>Migración De Ti A La Nube Híbrida</t>
        </is>
      </c>
      <c r="E815" s="26" t="n">
        <v>18000</v>
      </c>
      <c r="F815" s="27">
        <f>E815/Config!$B$1</f>
        <v/>
      </c>
      <c r="G815" s="24" t="inlineStr">
        <is>
          <t>Real</t>
        </is>
      </c>
    </row>
    <row r="816" ht="23.25" customHeight="1" s="19">
      <c r="A816" s="24" t="n">
        <v>7789</v>
      </c>
      <c r="B816" s="25" t="inlineStr">
        <is>
          <t>Servicios de Migración y Modernización de Infraestructura de TI</t>
        </is>
      </c>
      <c r="C816" s="24" t="inlineStr">
        <is>
          <t>Cloud Computing</t>
        </is>
      </c>
      <c r="D816" s="25" t="inlineStr">
        <is>
          <t>Migración De Ti A La Nube Híbrida</t>
        </is>
      </c>
      <c r="E816" s="26" t="n">
        <v>2000</v>
      </c>
      <c r="F816" s="27">
        <f>E816/Config!$B$1</f>
        <v/>
      </c>
      <c r="G816" s="28" t="inlineStr">
        <is>
          <t>Estimado (mediana de categoría)</t>
        </is>
      </c>
    </row>
    <row r="817" ht="23.25" customHeight="1" s="19">
      <c r="A817" s="24" t="n">
        <v>6353</v>
      </c>
      <c r="B817" s="25" t="inlineStr">
        <is>
          <t>Servicios de cloud computing</t>
        </is>
      </c>
      <c r="C817" s="24" t="inlineStr">
        <is>
          <t>Cloud Computing</t>
        </is>
      </c>
      <c r="D817" s="25" t="inlineStr">
        <is>
          <t>Servicios De Alojamiento, Procesamiento Y Almacenamiento En La Nube Para Empresas.</t>
        </is>
      </c>
      <c r="E817" s="26" t="n">
        <v>16200</v>
      </c>
      <c r="F817" s="27">
        <f>E817/Config!$B$1</f>
        <v/>
      </c>
      <c r="G817" s="24" t="inlineStr">
        <is>
          <t>Real</t>
        </is>
      </c>
    </row>
    <row r="818" ht="23.25" customHeight="1" s="19">
      <c r="A818" s="24" t="n">
        <v>8064</v>
      </c>
      <c r="B818" s="25" t="inlineStr">
        <is>
          <t>Servicios de cloud computing</t>
        </is>
      </c>
      <c r="C818" s="24" t="inlineStr">
        <is>
          <t>Cloud Computing</t>
        </is>
      </c>
      <c r="D818" s="25" t="inlineStr">
        <is>
          <t>Servicios De Alojamiento, Procesamiento Y Almacenamiento En La Nube Para Empresas.</t>
        </is>
      </c>
      <c r="E818" s="26" t="n">
        <v>2000</v>
      </c>
      <c r="F818" s="27">
        <f>E818/Config!$B$1</f>
        <v/>
      </c>
      <c r="G818" s="28" t="inlineStr">
        <is>
          <t>Estimado (mediana de categoría)</t>
        </is>
      </c>
    </row>
    <row r="819" ht="34.5" customHeight="1" s="19">
      <c r="A819" s="24" t="n">
        <v>6421</v>
      </c>
      <c r="B819" s="25" t="inlineStr">
        <is>
          <t>Servicios de implementación de soluciones de computación en la nube</t>
        </is>
      </c>
      <c r="C819" s="24" t="inlineStr">
        <is>
          <t>Cloud Computing</t>
        </is>
      </c>
      <c r="D819" s="25" t="inlineStr">
        <is>
          <t>Servicios De Consultoría Y Despliegue De Soluciones En La Nube Para Infraestructura, Plataformas Y Aplicaciones.</t>
        </is>
      </c>
      <c r="E819" s="26" t="n">
        <v>16200</v>
      </c>
      <c r="F819" s="27">
        <f>E819/Config!$B$1</f>
        <v/>
      </c>
      <c r="G819" s="24" t="inlineStr">
        <is>
          <t>Real</t>
        </is>
      </c>
    </row>
    <row r="820" ht="34.5" customHeight="1" s="19">
      <c r="A820" s="24" t="n">
        <v>8132</v>
      </c>
      <c r="B820" s="25" t="inlineStr">
        <is>
          <t>Servicios de implementación de soluciones de computación en la nube</t>
        </is>
      </c>
      <c r="C820" s="24" t="inlineStr">
        <is>
          <t>Cloud Computing</t>
        </is>
      </c>
      <c r="D820" s="25" t="inlineStr">
        <is>
          <t>Servicios De Consultoría Y Despliegue De Soluciones En La Nube Para Infraestructura, Plataformas Y Aplicaciones.</t>
        </is>
      </c>
      <c r="E820" s="26" t="n">
        <v>2000</v>
      </c>
      <c r="F820" s="27">
        <f>E820/Config!$B$1</f>
        <v/>
      </c>
      <c r="G820" s="28" t="inlineStr">
        <is>
          <t>Estimado (mediana de categoría)</t>
        </is>
      </c>
    </row>
    <row r="821" ht="34.5" customHeight="1" s="19">
      <c r="A821" s="24" t="n">
        <v>6437</v>
      </c>
      <c r="B821" s="25" t="inlineStr">
        <is>
          <t>Servicios de implementación de soluciones de infraestructura en la nube</t>
        </is>
      </c>
      <c r="C821" s="24" t="inlineStr">
        <is>
          <t>Cloud Computing</t>
        </is>
      </c>
      <c r="D821" s="25" t="inlineStr">
        <is>
          <t>Servicios De Consultoría Y Despliegue De Soluciones De Computación En La Nube, Almacenamiento, Redes Y Servicios Gestionados.</t>
        </is>
      </c>
      <c r="E821" s="26" t="n">
        <v>22500</v>
      </c>
      <c r="F821" s="27">
        <f>E821/Config!$B$1</f>
        <v/>
      </c>
      <c r="G821" s="24" t="inlineStr">
        <is>
          <t>Real</t>
        </is>
      </c>
    </row>
    <row r="822" ht="34.5" customHeight="1" s="19">
      <c r="A822" s="24" t="n">
        <v>8148</v>
      </c>
      <c r="B822" s="25" t="inlineStr">
        <is>
          <t>Servicios de implementación de soluciones de infraestructura en la nube</t>
        </is>
      </c>
      <c r="C822" s="24" t="inlineStr">
        <is>
          <t>Cloud Computing</t>
        </is>
      </c>
      <c r="D822" s="25" t="inlineStr">
        <is>
          <t>Servicios De Consultoría Y Despliegue De Soluciones De Computación En La Nube, Almacenamiento, Redes Y Servicios Gestionados.</t>
        </is>
      </c>
      <c r="E822" s="26" t="n">
        <v>2000</v>
      </c>
      <c r="F822" s="27">
        <f>E822/Config!$B$1</f>
        <v/>
      </c>
      <c r="G822" s="28" t="inlineStr">
        <is>
          <t>Estimado (mediana de categoría)</t>
        </is>
      </c>
    </row>
    <row r="823" ht="23.25" customHeight="1" s="19">
      <c r="A823" s="24" t="n">
        <v>8078</v>
      </c>
      <c r="B823" s="25" t="inlineStr">
        <is>
          <t>Servicios de integración de sistemas</t>
        </is>
      </c>
      <c r="C823" s="24" t="inlineStr">
        <is>
          <t>Cloud Computing</t>
        </is>
      </c>
      <c r="D823" s="25" t="inlineStr">
        <is>
          <t>Servicios De Consultoría Y Ejecución De Proyectos De Integración De Sistemas Y Apis.</t>
        </is>
      </c>
      <c r="E823" s="26" t="n">
        <v>2000</v>
      </c>
      <c r="F823" s="27">
        <f>E823/Config!$B$1</f>
        <v/>
      </c>
      <c r="G823" s="28" t="inlineStr">
        <is>
          <t>Estimado (mediana de categoría)</t>
        </is>
      </c>
    </row>
    <row r="824" ht="23.25" customHeight="1" s="19">
      <c r="A824" s="24" t="n">
        <v>8094</v>
      </c>
      <c r="B824" s="25" t="inlineStr">
        <is>
          <t>Servicios de integración de sistemas y middleware</t>
        </is>
      </c>
      <c r="C824" s="24" t="inlineStr">
        <is>
          <t>Cloud Computing</t>
        </is>
      </c>
      <c r="D824" s="25" t="inlineStr">
        <is>
          <t>Servicios De Consultoría Y Ejecución De Proyectos De Integración De Sistemas Y Apis.</t>
        </is>
      </c>
      <c r="E824" s="26" t="n">
        <v>2000</v>
      </c>
      <c r="F824" s="27">
        <f>E824/Config!$B$1</f>
        <v/>
      </c>
      <c r="G824" s="28" t="inlineStr">
        <is>
          <t>Estimado (mediana de categoría)</t>
        </is>
      </c>
    </row>
    <row r="825" ht="34.5" customHeight="1" s="19">
      <c r="A825" s="24" t="n">
        <v>8111</v>
      </c>
      <c r="B825" s="25" t="inlineStr">
        <is>
          <t>Servicios de integración y orquestación de sistemas</t>
        </is>
      </c>
      <c r="C825" s="24" t="inlineStr">
        <is>
          <t>Cloud Computing</t>
        </is>
      </c>
      <c r="D825" s="25" t="inlineStr">
        <is>
          <t>Servicios De Consultoría Y Desarrollo De Arquitecturas De Integración De Aplicaciones Y Datos.</t>
        </is>
      </c>
      <c r="E825" s="26" t="n">
        <v>2000</v>
      </c>
      <c r="F825" s="27">
        <f>E825/Config!$B$1</f>
        <v/>
      </c>
      <c r="G825" s="28" t="inlineStr">
        <is>
          <t>Estimado (mediana de categoría)</t>
        </is>
      </c>
    </row>
    <row r="826" ht="23.25" customHeight="1" s="19">
      <c r="A826" s="24" t="n">
        <v>6389</v>
      </c>
      <c r="B826" s="25" t="inlineStr">
        <is>
          <t>Servicios de migración a la nube</t>
        </is>
      </c>
      <c r="C826" s="24" t="inlineStr">
        <is>
          <t>Cloud Computing</t>
        </is>
      </c>
      <c r="D826" s="25" t="inlineStr">
        <is>
          <t>Servicios De Consultoría Y Ejecución De Proyectos De Migración Y Adopción De Soluciones Cloud.</t>
        </is>
      </c>
      <c r="E826" s="26" t="n">
        <v>18000</v>
      </c>
      <c r="F826" s="27">
        <f>E826/Config!$B$1</f>
        <v/>
      </c>
      <c r="G826" s="24" t="inlineStr">
        <is>
          <t>Real</t>
        </is>
      </c>
    </row>
    <row r="827" ht="23.25" customHeight="1" s="19">
      <c r="A827" s="24" t="n">
        <v>8100</v>
      </c>
      <c r="B827" s="25" t="inlineStr">
        <is>
          <t>Servicios de migración a la nube</t>
        </is>
      </c>
      <c r="C827" s="24" t="inlineStr">
        <is>
          <t>Cloud Computing</t>
        </is>
      </c>
      <c r="D827" s="25" t="inlineStr">
        <is>
          <t>Servicios De Consultoría Y Ejecución De Proyectos De Migración Y Adopción De Soluciones Cloud.</t>
        </is>
      </c>
      <c r="E827" s="26" t="n">
        <v>2000</v>
      </c>
      <c r="F827" s="27">
        <f>E827/Config!$B$1</f>
        <v/>
      </c>
      <c r="G827" s="28" t="inlineStr">
        <is>
          <t>Estimado (mediana de categoría)</t>
        </is>
      </c>
    </row>
    <row r="828" ht="23.25" customHeight="1" s="19">
      <c r="A828" s="24" t="n">
        <v>5978</v>
      </c>
      <c r="B828" s="25" t="inlineStr">
        <is>
          <t>Servicios de migración y modernización de infraestructura de TI a la nube híbrida y multicloud</t>
        </is>
      </c>
      <c r="C828" s="24" t="inlineStr">
        <is>
          <t>Cloud Computing</t>
        </is>
      </c>
      <c r="D828" s="25" t="inlineStr">
        <is>
          <t>Migración Y Modernización De Infraestructura Ti</t>
        </is>
      </c>
      <c r="E828" s="26" t="n">
        <v>18000</v>
      </c>
      <c r="F828" s="27">
        <f>E828/Config!$B$1</f>
        <v/>
      </c>
      <c r="G828" s="24" t="inlineStr">
        <is>
          <t>Real</t>
        </is>
      </c>
    </row>
    <row r="829" ht="23.25" customHeight="1" s="19">
      <c r="A829" s="24" t="n">
        <v>7741</v>
      </c>
      <c r="B829" s="25" t="inlineStr">
        <is>
          <t>Servicios de migración y modernización de infraestructura de TI a la nube híbrida y multicloud</t>
        </is>
      </c>
      <c r="C829" s="24" t="inlineStr">
        <is>
          <t>Cloud Computing</t>
        </is>
      </c>
      <c r="D829" s="25" t="inlineStr">
        <is>
          <t>Migración Y Modernización De Infraestructura Ti</t>
        </is>
      </c>
      <c r="E829" s="26" t="n">
        <v>2000</v>
      </c>
      <c r="F829" s="27">
        <f>E829/Config!$B$1</f>
        <v/>
      </c>
      <c r="G829" s="28" t="inlineStr">
        <is>
          <t>Estimado (mediana de categoría)</t>
        </is>
      </c>
    </row>
    <row r="830" ht="34.5" customHeight="1" s="19">
      <c r="A830" s="24" t="n">
        <v>6009</v>
      </c>
      <c r="B830" s="25" t="inlineStr">
        <is>
          <t>Servicios de migración y modernización de infraestructura de TI a la nube híbrida y multicloud con automatización</t>
        </is>
      </c>
      <c r="C830" s="24" t="inlineStr">
        <is>
          <t>Cloud Computing</t>
        </is>
      </c>
      <c r="D830" s="25" t="inlineStr">
        <is>
          <t>Migración</t>
        </is>
      </c>
      <c r="E830" s="26" t="n">
        <v>20700</v>
      </c>
      <c r="F830" s="27">
        <f>E830/Config!$B$1</f>
        <v/>
      </c>
      <c r="G830" s="24" t="inlineStr">
        <is>
          <t>Real</t>
        </is>
      </c>
    </row>
    <row r="831" ht="34.5" customHeight="1" s="19">
      <c r="A831" s="24" t="n">
        <v>7772</v>
      </c>
      <c r="B831" s="25" t="inlineStr">
        <is>
          <t>Servicios de migración y modernización de infraestructura de TI a la nube híbrida y multicloud con automatización</t>
        </is>
      </c>
      <c r="C831" s="24" t="inlineStr">
        <is>
          <t>Cloud Computing</t>
        </is>
      </c>
      <c r="D831" s="25" t="inlineStr">
        <is>
          <t>Migración</t>
        </is>
      </c>
      <c r="E831" s="26" t="n">
        <v>2000</v>
      </c>
      <c r="F831" s="27">
        <f>E831/Config!$B$1</f>
        <v/>
      </c>
      <c r="G831" s="28" t="inlineStr">
        <is>
          <t>Estimado (mediana de categoría)</t>
        </is>
      </c>
    </row>
    <row r="832" ht="34.5" customHeight="1" s="19">
      <c r="A832" s="24" t="n">
        <v>8074</v>
      </c>
      <c r="B832" s="25" t="inlineStr">
        <is>
          <t>Servicios de migración y modernización de sistemas</t>
        </is>
      </c>
      <c r="C832" s="24" t="inlineStr">
        <is>
          <t>Cloud Computing</t>
        </is>
      </c>
      <c r="D832" s="25" t="inlineStr">
        <is>
          <t>Servicios De Consultoría Y Ejecución De Proyectos De Modernización Y Migración De Infraestructura Tecnológica.</t>
        </is>
      </c>
      <c r="E832" s="26" t="n">
        <v>2000</v>
      </c>
      <c r="F832" s="27">
        <f>E832/Config!$B$1</f>
        <v/>
      </c>
      <c r="G832" s="28" t="inlineStr">
        <is>
          <t>Estimado (mediana de categoría)</t>
        </is>
      </c>
    </row>
    <row r="833" ht="23.25" customHeight="1" s="19">
      <c r="A833" s="24" t="n">
        <v>8087</v>
      </c>
      <c r="B833" s="25" t="inlineStr">
        <is>
          <t>Servicios de migración y modernización de sistemas legacy</t>
        </is>
      </c>
      <c r="C833" s="24" t="inlineStr">
        <is>
          <t>Cloud Computing</t>
        </is>
      </c>
      <c r="D833" s="25" t="inlineStr">
        <is>
          <t>Servicios De Consultoría Y Ejecución De Proyectos De Modernización De Sistemas Legacy.</t>
        </is>
      </c>
      <c r="E833" s="26" t="n">
        <v>2000</v>
      </c>
      <c r="F833" s="27">
        <f>E833/Config!$B$1</f>
        <v/>
      </c>
      <c r="G833" s="28" t="inlineStr">
        <is>
          <t>Estimado (mediana de categoría)</t>
        </is>
      </c>
    </row>
    <row r="834" ht="23.25" customHeight="1" s="19">
      <c r="A834" s="24" t="n">
        <v>6368</v>
      </c>
      <c r="B834" s="25" t="inlineStr">
        <is>
          <t>Servicios de virtualización y cloud computing</t>
        </is>
      </c>
      <c r="C834" s="24" t="inlineStr">
        <is>
          <t>Cloud Computing</t>
        </is>
      </c>
      <c r="D834" s="25" t="inlineStr">
        <is>
          <t>Servicios De Consultoría Y Ejecución De Proyectos De Adopción De Soluciones En La Nube.</t>
        </is>
      </c>
      <c r="E834" s="26" t="n">
        <v>14400</v>
      </c>
      <c r="F834" s="27">
        <f>E834/Config!$B$1</f>
        <v/>
      </c>
      <c r="G834" s="24" t="inlineStr">
        <is>
          <t>Real</t>
        </is>
      </c>
    </row>
    <row r="835" ht="23.25" customHeight="1" s="19">
      <c r="A835" s="24" t="n">
        <v>8079</v>
      </c>
      <c r="B835" s="25" t="inlineStr">
        <is>
          <t>Servicios de virtualización y cloud computing</t>
        </is>
      </c>
      <c r="C835" s="24" t="inlineStr">
        <is>
          <t>Cloud Computing</t>
        </is>
      </c>
      <c r="D835" s="25" t="inlineStr">
        <is>
          <t>Servicios De Consultoría Y Ejecución De Proyectos De Adopción De Soluciones En La Nube.</t>
        </is>
      </c>
      <c r="E835" s="26" t="n">
        <v>2000</v>
      </c>
      <c r="F835" s="27">
        <f>E835/Config!$B$1</f>
        <v/>
      </c>
      <c r="G835" s="28" t="inlineStr">
        <is>
          <t>Estimado (mediana de categoría)</t>
        </is>
      </c>
    </row>
    <row r="836" ht="23.25" customHeight="1" s="19">
      <c r="A836" s="24" t="n">
        <v>6324</v>
      </c>
      <c r="B836" s="25" t="inlineStr">
        <is>
          <t>Soluciones de nube híbrida</t>
        </is>
      </c>
      <c r="C836" s="24" t="inlineStr">
        <is>
          <t>Cloud Computing</t>
        </is>
      </c>
      <c r="D836" s="25" t="inlineStr">
        <is>
          <t>Servicios De Implementación Y Gestión De Entornos De Nube Híbrida.</t>
        </is>
      </c>
      <c r="E836" s="26" t="n">
        <v>2700</v>
      </c>
      <c r="F836" s="27">
        <f>E836/Config!$B$1</f>
        <v/>
      </c>
      <c r="G836" s="24" t="inlineStr">
        <is>
          <t>Real</t>
        </is>
      </c>
    </row>
    <row r="837" ht="23.25" customHeight="1" s="19">
      <c r="A837" s="24" t="n">
        <v>8035</v>
      </c>
      <c r="B837" s="25" t="inlineStr">
        <is>
          <t>Soluciones de nube híbrida</t>
        </is>
      </c>
      <c r="C837" s="24" t="inlineStr">
        <is>
          <t>Cloud Computing</t>
        </is>
      </c>
      <c r="D837" s="25" t="inlineStr">
        <is>
          <t>Servicios De Implementación Y Gestión De Entornos De Nube Híbrida.</t>
        </is>
      </c>
      <c r="E837" s="26" t="n">
        <v>2000</v>
      </c>
      <c r="F837" s="27">
        <f>E837/Config!$B$1</f>
        <v/>
      </c>
      <c r="G837" s="28" t="inlineStr">
        <is>
          <t>Estimado (mediana de categoría)</t>
        </is>
      </c>
    </row>
    <row r="838" ht="15" customHeight="1" s="19">
      <c r="A838" s="24" t="n">
        <v>7006</v>
      </c>
      <c r="B838" s="25" t="inlineStr">
        <is>
          <t>Soporte de Implementación de Soluciones en la Nube</t>
        </is>
      </c>
      <c r="C838" s="24" t="inlineStr">
        <is>
          <t>Cloud Computing</t>
        </is>
      </c>
      <c r="D838" s="25" t="inlineStr">
        <is>
          <t>Soporte En La Nube</t>
        </is>
      </c>
      <c r="E838" s="26" t="n">
        <v>6800</v>
      </c>
      <c r="F838" s="27">
        <f>E838/Config!$B$1</f>
        <v/>
      </c>
      <c r="G838" s="24" t="inlineStr">
        <is>
          <t>Real</t>
        </is>
      </c>
    </row>
    <row r="839" ht="15" customHeight="1" s="19">
      <c r="A839" s="24" t="n">
        <v>7007</v>
      </c>
      <c r="B839" s="25" t="inlineStr">
        <is>
          <t>Soporte de Infraestructura en la Nube</t>
        </is>
      </c>
      <c r="C839" s="24" t="inlineStr">
        <is>
          <t>Cloud Computing</t>
        </is>
      </c>
      <c r="D839" s="25" t="inlineStr">
        <is>
          <t>Infraestructura En La Nube</t>
        </is>
      </c>
      <c r="E839" s="26" t="n">
        <v>5800</v>
      </c>
      <c r="F839" s="27">
        <f>E839/Config!$B$1</f>
        <v/>
      </c>
      <c r="G839" s="24" t="inlineStr">
        <is>
          <t>Real</t>
        </is>
      </c>
    </row>
    <row r="840" ht="15" customHeight="1" s="19">
      <c r="A840" s="24" t="n">
        <v>7416</v>
      </c>
      <c r="B840" s="25" t="inlineStr">
        <is>
          <t>**Integración E-Commerce**</t>
        </is>
      </c>
      <c r="C840" s="24" t="inlineStr">
        <is>
          <t>Desarrollo Web y E-Commerce</t>
        </is>
      </c>
      <c r="D840" s="25" t="n"/>
      <c r="E840" s="26" t="n">
        <v>3000</v>
      </c>
      <c r="F840" s="27">
        <f>E840/Config!$B$1</f>
        <v/>
      </c>
      <c r="G840" s="28" t="inlineStr">
        <is>
          <t>Estimado (mediana de categoría)</t>
        </is>
      </c>
    </row>
    <row r="841" ht="34.5" customHeight="1" s="19">
      <c r="A841" s="24" t="n">
        <v>7412</v>
      </c>
      <c r="B841" s="25" t="inlineStr">
        <is>
          <t>&lt;strong&gt;Ítem: La solución definitiva para tus necesidades&lt;/strong&gt;</t>
        </is>
      </c>
      <c r="C841" s="24" t="inlineStr">
        <is>
          <t>Desarrollo Web y E-Commerce</t>
        </is>
      </c>
      <c r="D841" s="25" t="inlineStr">
        <is>
          <t>Ítem: el compañero perfecto para tu vida diaria, diseñado para mejorar la productividad, reducir el estrés y brindar comodidad y conveniencia.</t>
        </is>
      </c>
      <c r="E841" s="26" t="n">
        <v>3000</v>
      </c>
      <c r="F841" s="27">
        <f>E841/Config!$B$1</f>
        <v/>
      </c>
      <c r="G841" s="28" t="inlineStr">
        <is>
          <t>Estimado (mediana de categoría)</t>
        </is>
      </c>
    </row>
    <row r="842" ht="15" customHeight="1" s="19">
      <c r="A842" s="24" t="n">
        <v>7457</v>
      </c>
      <c r="B842" s="25" t="inlineStr">
        <is>
          <t>Actualización de Contenidos</t>
        </is>
      </c>
      <c r="C842" s="24" t="inlineStr">
        <is>
          <t>Desarrollo Web y E-Commerce</t>
        </is>
      </c>
      <c r="D842" s="25" t="n"/>
      <c r="E842" s="26" t="n">
        <v>3000</v>
      </c>
      <c r="F842" s="27">
        <f>E842/Config!$B$1</f>
        <v/>
      </c>
      <c r="G842" s="28" t="inlineStr">
        <is>
          <t>Estimado (mediana de categoría)</t>
        </is>
      </c>
    </row>
    <row r="843" ht="23.25" customHeight="1" s="19">
      <c r="A843" s="24" t="n">
        <v>6087</v>
      </c>
      <c r="B843" s="25" t="inlineStr">
        <is>
          <t>Aplicaciones web y móviles con blockchain</t>
        </is>
      </c>
      <c r="C843" s="24" t="inlineStr">
        <is>
          <t>Desarrollo Web y E-Commerce</t>
        </is>
      </c>
      <c r="D843" s="25" t="inlineStr">
        <is>
          <t>Desarrollo De Aplicaciones Web Y Móviles Con Blockchain.</t>
        </is>
      </c>
      <c r="E843" s="26" t="n">
        <v>7500</v>
      </c>
      <c r="F843" s="27">
        <f>E843/Config!$B$1</f>
        <v/>
      </c>
      <c r="G843" s="24" t="inlineStr">
        <is>
          <t>Real</t>
        </is>
      </c>
    </row>
    <row r="844" ht="23.25" customHeight="1" s="19">
      <c r="A844" s="24" t="n">
        <v>7811</v>
      </c>
      <c r="B844" s="25" t="inlineStr">
        <is>
          <t>Aplicaciones web y móviles con blockchain</t>
        </is>
      </c>
      <c r="C844" s="24" t="inlineStr">
        <is>
          <t>Desarrollo Web y E-Commerce</t>
        </is>
      </c>
      <c r="D844" s="25" t="inlineStr">
        <is>
          <t>Desarrollo De Aplicaciones Web Y Móviles Con Blockchain.</t>
        </is>
      </c>
      <c r="E844" s="26" t="n">
        <v>3000</v>
      </c>
      <c r="F844" s="27">
        <f>E844/Config!$B$1</f>
        <v/>
      </c>
      <c r="G844" s="28" t="inlineStr">
        <is>
          <t>Estimado (mediana de categoría)</t>
        </is>
      </c>
    </row>
    <row r="845" ht="15" customHeight="1" s="19">
      <c r="A845" s="24" t="n">
        <v>6741</v>
      </c>
      <c r="B845" s="25" t="inlineStr">
        <is>
          <t>Consultoría básica en UX/UI (opcional)</t>
        </is>
      </c>
      <c r="C845" s="24" t="inlineStr">
        <is>
          <t>Desarrollo Web y E-Commerce</t>
        </is>
      </c>
      <c r="D845" s="25" t="n"/>
      <c r="E845" s="26" t="n">
        <v>10</v>
      </c>
      <c r="F845" s="27">
        <f>E845/Config!$B$1</f>
        <v/>
      </c>
      <c r="G845" s="24" t="inlineStr">
        <is>
          <t>Real</t>
        </is>
      </c>
    </row>
    <row r="846" ht="23.25" customHeight="1" s="19">
      <c r="A846" s="24" t="n">
        <v>6502</v>
      </c>
      <c r="B846" s="25" t="inlineStr">
        <is>
          <t>Consultoría de UX</t>
        </is>
      </c>
      <c r="C846" s="24" t="inlineStr">
        <is>
          <t>Desarrollo Web y E-Commerce</t>
        </is>
      </c>
      <c r="D846" s="25" t="inlineStr">
        <is>
          <t>Optimización De La Experiencia De Usuario De Productos Digitales.</t>
        </is>
      </c>
      <c r="E846" s="26" t="n">
        <v>1500</v>
      </c>
      <c r="F846" s="27">
        <f>E846/Config!$B$1</f>
        <v/>
      </c>
      <c r="G846" s="24" t="inlineStr">
        <is>
          <t>Real</t>
        </is>
      </c>
    </row>
    <row r="847" ht="23.25" customHeight="1" s="19">
      <c r="A847" s="24" t="n">
        <v>8204</v>
      </c>
      <c r="B847" s="25" t="inlineStr">
        <is>
          <t>Consultoría de UX</t>
        </is>
      </c>
      <c r="C847" s="24" t="inlineStr">
        <is>
          <t>Desarrollo Web y E-Commerce</t>
        </is>
      </c>
      <c r="D847" s="25" t="inlineStr">
        <is>
          <t>Optimización De La Experiencia De Usuario De Productos Digitales.</t>
        </is>
      </c>
      <c r="E847" s="26" t="n">
        <v>3000</v>
      </c>
      <c r="F847" s="27">
        <f>E847/Config!$B$1</f>
        <v/>
      </c>
      <c r="G847" s="28" t="inlineStr">
        <is>
          <t>Estimado (mediana de categoría)</t>
        </is>
      </c>
    </row>
    <row r="848" ht="15" customHeight="1" s="19">
      <c r="A848" s="24" t="n">
        <v>7456</v>
      </c>
      <c r="B848" s="25" t="inlineStr">
        <is>
          <t>Consultoría en Diseño de E-Commerce</t>
        </is>
      </c>
      <c r="C848" s="24" t="inlineStr">
        <is>
          <t>Desarrollo Web y E-Commerce</t>
        </is>
      </c>
      <c r="D848" s="25" t="n"/>
      <c r="E848" s="26" t="n">
        <v>3000</v>
      </c>
      <c r="F848" s="27">
        <f>E848/Config!$B$1</f>
        <v/>
      </c>
      <c r="G848" s="28" t="inlineStr">
        <is>
          <t>Estimado (mediana de categoría)</t>
        </is>
      </c>
    </row>
    <row r="849" ht="15" customHeight="1" s="19">
      <c r="A849" s="24" t="n">
        <v>6103</v>
      </c>
      <c r="B849" s="25" t="inlineStr">
        <is>
          <t>Consultoría en E-commerce</t>
        </is>
      </c>
      <c r="C849" s="24" t="inlineStr">
        <is>
          <t>Desarrollo Web y E-Commerce</t>
        </is>
      </c>
      <c r="D849" s="25" t="inlineStr">
        <is>
          <t>Consultoría En E-Commerce</t>
        </is>
      </c>
      <c r="E849" s="26" t="n">
        <v>3000</v>
      </c>
      <c r="F849" s="27">
        <f>E849/Config!$B$1</f>
        <v/>
      </c>
      <c r="G849" s="28" t="inlineStr">
        <is>
          <t>Estimado (mediana de categoría)</t>
        </is>
      </c>
    </row>
    <row r="850" ht="15" customHeight="1" s="19">
      <c r="A850" s="24" t="n">
        <v>7827</v>
      </c>
      <c r="B850" s="25" t="inlineStr">
        <is>
          <t>Consultoría en E-commerce</t>
        </is>
      </c>
      <c r="C850" s="24" t="inlineStr">
        <is>
          <t>Desarrollo Web y E-Commerce</t>
        </is>
      </c>
      <c r="D850" s="25" t="inlineStr">
        <is>
          <t>Consultoría En E-Commerce</t>
        </is>
      </c>
      <c r="E850" s="26" t="n">
        <v>3000</v>
      </c>
      <c r="F850" s="27">
        <f>E850/Config!$B$1</f>
        <v/>
      </c>
      <c r="G850" s="28" t="inlineStr">
        <is>
          <t>Estimado (mediana de categoría)</t>
        </is>
      </c>
    </row>
    <row r="851" ht="15" customHeight="1" s="19">
      <c r="A851" s="24" t="n">
        <v>6761</v>
      </c>
      <c r="B851" s="25" t="inlineStr">
        <is>
          <t>Consultoría en Estrategias de E-Commerce</t>
        </is>
      </c>
      <c r="C851" s="24" t="inlineStr">
        <is>
          <t>Desarrollo Web y E-Commerce</t>
        </is>
      </c>
      <c r="D851" s="25" t="inlineStr">
        <is>
          <t>Estrategias De E-Commerce</t>
        </is>
      </c>
      <c r="E851" s="26" t="n">
        <v>4800</v>
      </c>
      <c r="F851" s="27">
        <f>E851/Config!$B$1</f>
        <v/>
      </c>
      <c r="G851" s="24" t="inlineStr">
        <is>
          <t>Real</t>
        </is>
      </c>
    </row>
    <row r="852" ht="15" customHeight="1" s="19">
      <c r="A852" s="24" t="n">
        <v>7592</v>
      </c>
      <c r="B852" s="25" t="inlineStr">
        <is>
          <t>Consultoría en experiencia del usuario (UX)</t>
        </is>
      </c>
      <c r="C852" s="24" t="inlineStr">
        <is>
          <t>Desarrollo Web y E-Commerce</t>
        </is>
      </c>
      <c r="D852" s="25" t="inlineStr">
        <is>
          <t>Consultoría En Ux</t>
        </is>
      </c>
      <c r="E852" s="26" t="n">
        <v>540</v>
      </c>
      <c r="F852" s="27">
        <f>E852/Config!$B$1</f>
        <v/>
      </c>
      <c r="G852" s="24" t="inlineStr">
        <is>
          <t>Real</t>
        </is>
      </c>
    </row>
    <row r="853" ht="23.25" customHeight="1" s="19">
      <c r="A853" s="24" t="n">
        <v>6649</v>
      </c>
      <c r="B853" s="25" t="inlineStr">
        <is>
          <t>Crea tu propio Marketplace: la solución integral para el comercio electrónico</t>
        </is>
      </c>
      <c r="C853" s="24" t="inlineStr">
        <is>
          <t>Desarrollo Web y E-Commerce</t>
        </is>
      </c>
      <c r="D853" s="25" t="inlineStr">
        <is>
          <t>Desarrollo de un Marketplace propio para Ecommerce.</t>
        </is>
      </c>
      <c r="E853" s="26" t="n">
        <v>2000</v>
      </c>
      <c r="F853" s="27">
        <f>E853/Config!$B$1</f>
        <v/>
      </c>
      <c r="G853" s="24" t="inlineStr">
        <is>
          <t>Real</t>
        </is>
      </c>
    </row>
    <row r="854" ht="23.25" customHeight="1" s="19">
      <c r="A854" s="24" t="n">
        <v>8350</v>
      </c>
      <c r="B854" s="25" t="inlineStr">
        <is>
          <t>Crea tu propio Marketplace: la solución integral para el comercio electrónico</t>
        </is>
      </c>
      <c r="C854" s="24" t="inlineStr">
        <is>
          <t>Desarrollo Web y E-Commerce</t>
        </is>
      </c>
      <c r="D854" s="25" t="inlineStr">
        <is>
          <t>Crea tu propio Marketplace: la solución integral para el comercio electrónico</t>
        </is>
      </c>
      <c r="E854" s="26" t="n">
        <v>3000</v>
      </c>
      <c r="F854" s="27">
        <f>E854/Config!$B$1</f>
        <v/>
      </c>
      <c r="G854" s="28" t="inlineStr">
        <is>
          <t>Estimado (mediana de categoría)</t>
        </is>
      </c>
    </row>
    <row r="855" ht="57" customHeight="1" s="19">
      <c r="A855" s="24" t="n">
        <v>8248</v>
      </c>
      <c r="B855" s="25" t="inlineStr">
        <is>
          <t>Creación de Tienda Online: Diseño, Desarrollo y Capacitación para Impulsar tu Negocio Digital</t>
        </is>
      </c>
      <c r="C855" s="24" t="inlineStr">
        <is>
          <t>Desarrollo Web y E-Commerce</t>
        </is>
      </c>
      <c r="D855" s="25" t="inlineStr">
        <is>
          <t>Creación de Tienda Online: Diseño, Desarrollo y Capacitación para tu Negocio Digital. Servicio integral para impulsar tu negocio con diseño personalizado, catálogo completo, pagos seguros, optimización móvil y redes sociales.</t>
        </is>
      </c>
      <c r="E855" s="26" t="n">
        <v>3000</v>
      </c>
      <c r="F855" s="27">
        <f>E855/Config!$B$1</f>
        <v/>
      </c>
      <c r="G855" s="28" t="inlineStr">
        <is>
          <t>Estimado (mediana de categoría)</t>
        </is>
      </c>
    </row>
    <row r="856" ht="34.5" customHeight="1" s="19">
      <c r="A856" s="24" t="n">
        <v>6546</v>
      </c>
      <c r="B856" s="25" t="inlineStr">
        <is>
          <t>Creación de Tienda Online: Diseño, Desarrollo y Capacitación para tu Negocio Digital</t>
        </is>
      </c>
      <c r="C856" s="24" t="inlineStr">
        <is>
          <t>Desarrollo Web y E-Commerce</t>
        </is>
      </c>
      <c r="D856" s="25" t="inlineStr">
        <is>
          <t>Servicio de creación de tienda online para impulsar tu negocio con diseño personalizado, catálogo completo, pagos seguros, optimización móvil y redes sociales.</t>
        </is>
      </c>
      <c r="E856" s="26" t="n">
        <v>5000</v>
      </c>
      <c r="F856" s="27">
        <f>E856/Config!$B$1</f>
        <v/>
      </c>
      <c r="G856" s="24" t="inlineStr">
        <is>
          <t>Real</t>
        </is>
      </c>
    </row>
    <row r="857" ht="15" customHeight="1" s="19">
      <c r="A857" s="24" t="n">
        <v>6947</v>
      </c>
      <c r="B857" s="25" t="inlineStr">
        <is>
          <t>Creación de Tienda Virtual Básica</t>
        </is>
      </c>
      <c r="C857" s="24" t="inlineStr">
        <is>
          <t>Desarrollo Web y E-Commerce</t>
        </is>
      </c>
      <c r="D857" s="25" t="inlineStr">
        <is>
          <t>Tienda Virtual Básica</t>
        </is>
      </c>
      <c r="E857" s="26" t="n">
        <v>3300</v>
      </c>
      <c r="F857" s="27">
        <f>E857/Config!$B$1</f>
        <v/>
      </c>
      <c r="G857" s="24" t="inlineStr">
        <is>
          <t>Real</t>
        </is>
      </c>
    </row>
    <row r="858" ht="15" customHeight="1" s="19">
      <c r="A858" s="24" t="n">
        <v>6495</v>
      </c>
      <c r="B858" s="25" t="inlineStr">
        <is>
          <t>Creación de página web</t>
        </is>
      </c>
      <c r="C858" s="24" t="inlineStr">
        <is>
          <t>Desarrollo Web y E-Commerce</t>
        </is>
      </c>
      <c r="D858" s="25" t="inlineStr">
        <is>
          <t>Diseño Y Desarrollo De Sitios Web Personalizados.</t>
        </is>
      </c>
      <c r="E858" s="26" t="n">
        <v>1000</v>
      </c>
      <c r="F858" s="27">
        <f>E858/Config!$B$1</f>
        <v/>
      </c>
      <c r="G858" s="24" t="inlineStr">
        <is>
          <t>Real</t>
        </is>
      </c>
    </row>
    <row r="859" ht="15" customHeight="1" s="19">
      <c r="A859" s="24" t="n">
        <v>8197</v>
      </c>
      <c r="B859" s="25" t="inlineStr">
        <is>
          <t>Creación de página web</t>
        </is>
      </c>
      <c r="C859" s="24" t="inlineStr">
        <is>
          <t>Desarrollo Web y E-Commerce</t>
        </is>
      </c>
      <c r="D859" s="25" t="inlineStr">
        <is>
          <t>Diseño Y Desarrollo De Sitios Web Personalizados.</t>
        </is>
      </c>
      <c r="E859" s="26" t="n">
        <v>3000</v>
      </c>
      <c r="F859" s="27">
        <f>E859/Config!$B$1</f>
        <v/>
      </c>
      <c r="G859" s="28" t="inlineStr">
        <is>
          <t>Estimado (mediana de categoría)</t>
        </is>
      </c>
    </row>
    <row r="860" ht="15" customHeight="1" s="19">
      <c r="A860" s="24" t="n">
        <v>5901</v>
      </c>
      <c r="B860" s="25" t="inlineStr">
        <is>
          <t>Custom Software Development</t>
        </is>
      </c>
      <c r="C860" s="24" t="inlineStr">
        <is>
          <t>Desarrollo Web y E-Commerce</t>
        </is>
      </c>
      <c r="D860" s="25" t="inlineStr">
        <is>
          <t>Desarrollo De Software Personalizado</t>
        </is>
      </c>
      <c r="E860" s="26" t="n">
        <v>20000</v>
      </c>
      <c r="F860" s="27">
        <f>E860/Config!$B$1</f>
        <v/>
      </c>
      <c r="G860" s="24" t="inlineStr">
        <is>
          <t>Real</t>
        </is>
      </c>
    </row>
    <row r="861" ht="15" customHeight="1" s="19">
      <c r="A861" s="24" t="n">
        <v>7683</v>
      </c>
      <c r="B861" s="25" t="inlineStr">
        <is>
          <t>Custom Software Development</t>
        </is>
      </c>
      <c r="C861" s="24" t="inlineStr">
        <is>
          <t>Desarrollo Web y E-Commerce</t>
        </is>
      </c>
      <c r="D861" s="25" t="inlineStr">
        <is>
          <t>Desarrollo De Software Personalizado</t>
        </is>
      </c>
      <c r="E861" s="26" t="n">
        <v>3000</v>
      </c>
      <c r="F861" s="27">
        <f>E861/Config!$B$1</f>
        <v/>
      </c>
      <c r="G861" s="28" t="inlineStr">
        <is>
          <t>Estimado (mediana de categoría)</t>
        </is>
      </c>
    </row>
    <row r="862" ht="15" customHeight="1" s="19">
      <c r="A862" s="24" t="n">
        <v>5886</v>
      </c>
      <c r="B862" s="25" t="inlineStr">
        <is>
          <t>Custom Web Development</t>
        </is>
      </c>
      <c r="C862" s="24" t="inlineStr">
        <is>
          <t>Desarrollo Web y E-Commerce</t>
        </is>
      </c>
      <c r="D862" s="25" t="inlineStr">
        <is>
          <t>Desarrollo Web Personalizado</t>
        </is>
      </c>
      <c r="E862" s="26" t="n">
        <v>8000</v>
      </c>
      <c r="F862" s="27">
        <f>E862/Config!$B$1</f>
        <v/>
      </c>
      <c r="G862" s="24" t="inlineStr">
        <is>
          <t>Real</t>
        </is>
      </c>
    </row>
    <row r="863" ht="15" customHeight="1" s="19">
      <c r="A863" s="24" t="n">
        <v>7668</v>
      </c>
      <c r="B863" s="25" t="inlineStr">
        <is>
          <t>Custom Web Development</t>
        </is>
      </c>
      <c r="C863" s="24" t="inlineStr">
        <is>
          <t>Desarrollo Web y E-Commerce</t>
        </is>
      </c>
      <c r="D863" s="25" t="inlineStr">
        <is>
          <t>Desarrollo Web Personalizado</t>
        </is>
      </c>
      <c r="E863" s="26" t="n">
        <v>3000</v>
      </c>
      <c r="F863" s="27">
        <f>E863/Config!$B$1</f>
        <v/>
      </c>
      <c r="G863" s="28" t="inlineStr">
        <is>
          <t>Estimado (mediana de categoría)</t>
        </is>
      </c>
    </row>
    <row r="864" ht="15" customHeight="1" s="19">
      <c r="A864" s="24" t="n">
        <v>6063</v>
      </c>
      <c r="B864" s="25" t="inlineStr">
        <is>
          <t>Desarrollo Web</t>
        </is>
      </c>
      <c r="C864" s="24" t="inlineStr">
        <is>
          <t>Desarrollo Web y E-Commerce</t>
        </is>
      </c>
      <c r="D864" s="25" t="inlineStr">
        <is>
          <t>Diseño Y Desarrollo Web</t>
        </is>
      </c>
      <c r="E864" s="26" t="n">
        <v>3000</v>
      </c>
      <c r="F864" s="27">
        <f>E864/Config!$B$1</f>
        <v/>
      </c>
      <c r="G864" s="28" t="inlineStr">
        <is>
          <t>Estimado (mediana de categoría)</t>
        </is>
      </c>
    </row>
    <row r="865" ht="15" customHeight="1" s="19">
      <c r="A865" s="24" t="n">
        <v>6895</v>
      </c>
      <c r="B865" s="25" t="inlineStr">
        <is>
          <t>Desarrollo Web Personalizado</t>
        </is>
      </c>
      <c r="C865" s="24" t="inlineStr">
        <is>
          <t>Desarrollo Web y E-Commerce</t>
        </is>
      </c>
      <c r="D865" s="25" t="inlineStr">
        <is>
          <t>Desarrollo Web A Medida.</t>
        </is>
      </c>
      <c r="E865" s="26" t="n">
        <v>3500</v>
      </c>
      <c r="F865" s="27">
        <f>E865/Config!$B$1</f>
        <v/>
      </c>
      <c r="G865" s="24" t="inlineStr">
        <is>
          <t>Real</t>
        </is>
      </c>
    </row>
    <row r="866" ht="23.25" customHeight="1" s="19">
      <c r="A866" s="24" t="n">
        <v>7490</v>
      </c>
      <c r="B866" s="25" t="inlineStr">
        <is>
          <t>Desarrollo Web Premium: Creá tu sitio web profesional y optimizado</t>
        </is>
      </c>
      <c r="C866" s="24" t="inlineStr">
        <is>
          <t>Desarrollo Web y E-Commerce</t>
        </is>
      </c>
      <c r="D866" s="25" t="inlineStr">
        <is>
          <t>Desarrollo Web Premium: la solución integral para tu presencia online.</t>
        </is>
      </c>
      <c r="E866" s="26" t="n">
        <v>3000</v>
      </c>
      <c r="F866" s="27">
        <f>E866/Config!$B$1</f>
        <v/>
      </c>
      <c r="G866" s="28" t="inlineStr">
        <is>
          <t>Estimado (mediana de categoría)</t>
        </is>
      </c>
    </row>
    <row r="867" ht="15" customHeight="1" s="19">
      <c r="A867" s="24" t="n">
        <v>5906</v>
      </c>
      <c r="B867" s="25" t="inlineStr">
        <is>
          <t>Desarrollo de Aplicaciones Personalizadas</t>
        </is>
      </c>
      <c r="C867" s="24" t="inlineStr">
        <is>
          <t>Desarrollo Web y E-Commerce</t>
        </is>
      </c>
      <c r="D867" s="25" t="inlineStr">
        <is>
          <t>Desarrollo De Aplicaciones Móviles</t>
        </is>
      </c>
      <c r="E867" s="26" t="n">
        <v>9000</v>
      </c>
      <c r="F867" s="27">
        <f>E867/Config!$B$1</f>
        <v/>
      </c>
      <c r="G867" s="24" t="inlineStr">
        <is>
          <t>Real</t>
        </is>
      </c>
    </row>
    <row r="868" ht="15" customHeight="1" s="19">
      <c r="A868" s="24" t="n">
        <v>7688</v>
      </c>
      <c r="B868" s="25" t="inlineStr">
        <is>
          <t>Desarrollo de Aplicaciones Personalizadas</t>
        </is>
      </c>
      <c r="C868" s="24" t="inlineStr">
        <is>
          <t>Desarrollo Web y E-Commerce</t>
        </is>
      </c>
      <c r="D868" s="25" t="inlineStr">
        <is>
          <t>Desarrollo De Aplicaciones Móviles</t>
        </is>
      </c>
      <c r="E868" s="26" t="n">
        <v>3000</v>
      </c>
      <c r="F868" s="27">
        <f>E868/Config!$B$1</f>
        <v/>
      </c>
      <c r="G868" s="28" t="inlineStr">
        <is>
          <t>Estimado (mediana de categoría)</t>
        </is>
      </c>
    </row>
    <row r="869" ht="15" customHeight="1" s="19">
      <c r="A869" s="24" t="n">
        <v>5961</v>
      </c>
      <c r="B869" s="25" t="inlineStr">
        <is>
          <t>Desarrollo de Aplicaciones Web</t>
        </is>
      </c>
      <c r="C869" s="24" t="inlineStr">
        <is>
          <t>Desarrollo Web y E-Commerce</t>
        </is>
      </c>
      <c r="D869" s="25" t="inlineStr">
        <is>
          <t>Desarrollo De Aplicaciones Web</t>
        </is>
      </c>
      <c r="E869" s="26" t="n">
        <v>3000</v>
      </c>
      <c r="F869" s="27">
        <f>E869/Config!$B$1</f>
        <v/>
      </c>
      <c r="G869" s="28" t="inlineStr">
        <is>
          <t>Estimado (mediana de categoría)</t>
        </is>
      </c>
    </row>
    <row r="870" ht="15" customHeight="1" s="19">
      <c r="A870" s="24" t="n">
        <v>6130</v>
      </c>
      <c r="B870" s="25" t="inlineStr">
        <is>
          <t>Desarrollo de Aplicaciones a Medida</t>
        </is>
      </c>
      <c r="C870" s="24" t="inlineStr">
        <is>
          <t>Desarrollo Web y E-Commerce</t>
        </is>
      </c>
      <c r="D870" s="25" t="inlineStr">
        <is>
          <t>Desarrollo A Medida</t>
        </is>
      </c>
      <c r="E870" s="26" t="n">
        <v>4700</v>
      </c>
      <c r="F870" s="27">
        <f>E870/Config!$B$1</f>
        <v/>
      </c>
      <c r="G870" s="24" t="inlineStr">
        <is>
          <t>Real</t>
        </is>
      </c>
    </row>
    <row r="871" ht="15" customHeight="1" s="19">
      <c r="A871" s="24" t="n">
        <v>7854</v>
      </c>
      <c r="B871" s="25" t="inlineStr">
        <is>
          <t>Desarrollo de Aplicaciones a Medida</t>
        </is>
      </c>
      <c r="C871" s="24" t="inlineStr">
        <is>
          <t>Desarrollo Web y E-Commerce</t>
        </is>
      </c>
      <c r="D871" s="25" t="inlineStr">
        <is>
          <t>Desarrollo A Medida</t>
        </is>
      </c>
      <c r="E871" s="26" t="n">
        <v>3000</v>
      </c>
      <c r="F871" s="27">
        <f>E871/Config!$B$1</f>
        <v/>
      </c>
      <c r="G871" s="28" t="inlineStr">
        <is>
          <t>Estimado (mediana de categoría)</t>
        </is>
      </c>
    </row>
    <row r="872" ht="15" customHeight="1" s="19">
      <c r="A872" s="24" t="n">
        <v>6939</v>
      </c>
      <c r="B872" s="25" t="inlineStr">
        <is>
          <t>Desarrollo de Contenido Multilingüe</t>
        </is>
      </c>
      <c r="C872" s="24" t="inlineStr">
        <is>
          <t>Desarrollo Web y E-Commerce</t>
        </is>
      </c>
      <c r="D872" s="25" t="inlineStr">
        <is>
          <t>Contenido Multilingüe</t>
        </is>
      </c>
      <c r="E872" s="26" t="n">
        <v>3800</v>
      </c>
      <c r="F872" s="27">
        <f>E872/Config!$B$1</f>
        <v/>
      </c>
      <c r="G872" s="24" t="inlineStr">
        <is>
          <t>Real</t>
        </is>
      </c>
    </row>
    <row r="873" ht="15" customHeight="1" s="19">
      <c r="A873" s="24" t="n">
        <v>6941</v>
      </c>
      <c r="B873" s="25" t="inlineStr">
        <is>
          <t>Desarrollo de Plataforma de E-Commerce</t>
        </is>
      </c>
      <c r="C873" s="24" t="inlineStr">
        <is>
          <t>Desarrollo Web y E-Commerce</t>
        </is>
      </c>
      <c r="D873" s="25" t="inlineStr">
        <is>
          <t>Plataforma De E-Commerce</t>
        </is>
      </c>
      <c r="E873" s="26" t="n">
        <v>8700</v>
      </c>
      <c r="F873" s="27">
        <f>E873/Config!$B$1</f>
        <v/>
      </c>
      <c r="G873" s="24" t="inlineStr">
        <is>
          <t>Real</t>
        </is>
      </c>
    </row>
    <row r="874" ht="15" customHeight="1" s="19">
      <c r="A874" s="24" t="n">
        <v>6095</v>
      </c>
      <c r="B874" s="25" t="inlineStr">
        <is>
          <t>Desarrollo de Portales Web</t>
        </is>
      </c>
      <c r="C874" s="24" t="inlineStr">
        <is>
          <t>Desarrollo Web y E-Commerce</t>
        </is>
      </c>
      <c r="D874" s="25" t="inlineStr">
        <is>
          <t>Desarrollo De Portales Web</t>
        </is>
      </c>
      <c r="E874" s="26" t="n">
        <v>5000</v>
      </c>
      <c r="F874" s="27">
        <f>E874/Config!$B$1</f>
        <v/>
      </c>
      <c r="G874" s="24" t="inlineStr">
        <is>
          <t>Real</t>
        </is>
      </c>
    </row>
    <row r="875" ht="15" customHeight="1" s="19">
      <c r="A875" s="24" t="n">
        <v>7819</v>
      </c>
      <c r="B875" s="25" t="inlineStr">
        <is>
          <t>Desarrollo de Portales Web</t>
        </is>
      </c>
      <c r="C875" s="24" t="inlineStr">
        <is>
          <t>Desarrollo Web y E-Commerce</t>
        </is>
      </c>
      <c r="D875" s="25" t="inlineStr">
        <is>
          <t>Desarrollo De Portales Web</t>
        </is>
      </c>
      <c r="E875" s="26" t="n">
        <v>3000</v>
      </c>
      <c r="F875" s="27">
        <f>E875/Config!$B$1</f>
        <v/>
      </c>
      <c r="G875" s="28" t="inlineStr">
        <is>
          <t>Estimado (mediana de categoría)</t>
        </is>
      </c>
    </row>
    <row r="876" ht="15" customHeight="1" s="19">
      <c r="A876" s="24" t="n">
        <v>6131</v>
      </c>
      <c r="B876" s="25" t="inlineStr">
        <is>
          <t>Desarrollo de Páginas Web</t>
        </is>
      </c>
      <c r="C876" s="24" t="inlineStr">
        <is>
          <t>Desarrollo Web y E-Commerce</t>
        </is>
      </c>
      <c r="D876" s="25" t="inlineStr">
        <is>
          <t>Desarrollo Web</t>
        </is>
      </c>
      <c r="E876" s="26" t="n">
        <v>4300</v>
      </c>
      <c r="F876" s="27">
        <f>E876/Config!$B$1</f>
        <v/>
      </c>
      <c r="G876" s="24" t="inlineStr">
        <is>
          <t>Real</t>
        </is>
      </c>
    </row>
    <row r="877" ht="15" customHeight="1" s="19">
      <c r="A877" s="24" t="n">
        <v>7855</v>
      </c>
      <c r="B877" s="25" t="inlineStr">
        <is>
          <t>Desarrollo de Páginas Web</t>
        </is>
      </c>
      <c r="C877" s="24" t="inlineStr">
        <is>
          <t>Desarrollo Web y E-Commerce</t>
        </is>
      </c>
      <c r="D877" s="25" t="inlineStr">
        <is>
          <t>Desarrollo Web</t>
        </is>
      </c>
      <c r="E877" s="26" t="n">
        <v>3000</v>
      </c>
      <c r="F877" s="27">
        <f>E877/Config!$B$1</f>
        <v/>
      </c>
      <c r="G877" s="28" t="inlineStr">
        <is>
          <t>Estimado (mediana de categoría)</t>
        </is>
      </c>
    </row>
    <row r="878" ht="15" customHeight="1" s="19">
      <c r="A878" s="24" t="n">
        <v>5863</v>
      </c>
      <c r="B878" s="25" t="inlineStr">
        <is>
          <t>Desarrollo de Software a Medida</t>
        </is>
      </c>
      <c r="C878" s="24" t="inlineStr">
        <is>
          <t>Desarrollo Web y E-Commerce</t>
        </is>
      </c>
      <c r="D878" s="25" t="inlineStr">
        <is>
          <t>Software Personalizado.</t>
        </is>
      </c>
      <c r="E878" s="26" t="n">
        <v>7000</v>
      </c>
      <c r="F878" s="27">
        <f>E878/Config!$B$1</f>
        <v/>
      </c>
      <c r="G878" s="24" t="inlineStr">
        <is>
          <t>Real</t>
        </is>
      </c>
    </row>
    <row r="879" ht="15" customHeight="1" s="19">
      <c r="A879" s="24" t="n">
        <v>7645</v>
      </c>
      <c r="B879" s="25" t="inlineStr">
        <is>
          <t>Desarrollo de Software a Medida</t>
        </is>
      </c>
      <c r="C879" s="24" t="inlineStr">
        <is>
          <t>Desarrollo Web y E-Commerce</t>
        </is>
      </c>
      <c r="D879" s="25" t="inlineStr">
        <is>
          <t>Software Personalizado.</t>
        </is>
      </c>
      <c r="E879" s="26" t="n">
        <v>3000</v>
      </c>
      <c r="F879" s="27">
        <f>E879/Config!$B$1</f>
        <v/>
      </c>
      <c r="G879" s="28" t="inlineStr">
        <is>
          <t>Estimado (mediana de categoría)</t>
        </is>
      </c>
    </row>
    <row r="880" ht="23.25" customHeight="1" s="19">
      <c r="A880" s="24" t="n">
        <v>6938</v>
      </c>
      <c r="B880" s="25" t="inlineStr">
        <is>
          <t>Desarrollo de Soluciones de E-Commerce Personalizadas</t>
        </is>
      </c>
      <c r="C880" s="24" t="inlineStr">
        <is>
          <t>Desarrollo Web y E-Commerce</t>
        </is>
      </c>
      <c r="D880" s="25" t="inlineStr">
        <is>
          <t>E-Commerce Personalizado</t>
        </is>
      </c>
      <c r="E880" s="26" t="n">
        <v>9500</v>
      </c>
      <c r="F880" s="27">
        <f>E880/Config!$B$1</f>
        <v/>
      </c>
      <c r="G880" s="24" t="inlineStr">
        <is>
          <t>Real</t>
        </is>
      </c>
    </row>
    <row r="881" ht="15" customHeight="1" s="19">
      <c r="A881" s="24" t="n">
        <v>6950</v>
      </c>
      <c r="B881" s="25" t="inlineStr">
        <is>
          <t>Desarrollo de Tienda Virtual Avanzada</t>
        </is>
      </c>
      <c r="C881" s="24" t="inlineStr">
        <is>
          <t>Desarrollo Web y E-Commerce</t>
        </is>
      </c>
      <c r="D881" s="25" t="inlineStr">
        <is>
          <t>Tienda Virtual Avanzada</t>
        </is>
      </c>
      <c r="E881" s="26" t="n">
        <v>5800</v>
      </c>
      <c r="F881" s="27">
        <f>E881/Config!$B$1</f>
        <v/>
      </c>
      <c r="G881" s="24" t="inlineStr">
        <is>
          <t>Real</t>
        </is>
      </c>
    </row>
    <row r="882" ht="15" customHeight="1" s="19">
      <c r="A882" s="24" t="n">
        <v>6936</v>
      </c>
      <c r="B882" s="25" t="inlineStr">
        <is>
          <t>Desarrollo de Tienda Virtual Básica</t>
        </is>
      </c>
      <c r="C882" s="24" t="inlineStr">
        <is>
          <t>Desarrollo Web y E-Commerce</t>
        </is>
      </c>
      <c r="D882" s="25" t="inlineStr">
        <is>
          <t>Tienda Virtual Básica</t>
        </is>
      </c>
      <c r="E882" s="26" t="n">
        <v>3700</v>
      </c>
      <c r="F882" s="27">
        <f>E882/Config!$B$1</f>
        <v/>
      </c>
      <c r="G882" s="24" t="inlineStr">
        <is>
          <t>Real</t>
        </is>
      </c>
    </row>
    <row r="883" ht="15" customHeight="1" s="19">
      <c r="A883" s="24" t="n">
        <v>6049</v>
      </c>
      <c r="B883" s="25" t="inlineStr">
        <is>
          <t>Desarrollo de aplicaciones</t>
        </is>
      </c>
      <c r="C883" s="24" t="inlineStr">
        <is>
          <t>Desarrollo Web y E-Commerce</t>
        </is>
      </c>
      <c r="D883" s="25" t="inlineStr">
        <is>
          <t>Microservicios Y Contenedores</t>
        </is>
      </c>
      <c r="E883" s="26" t="n">
        <v>3000</v>
      </c>
      <c r="F883" s="27">
        <f>E883/Config!$B$1</f>
        <v/>
      </c>
      <c r="G883" s="28" t="inlineStr">
        <is>
          <t>Estimado (mediana de categoría)</t>
        </is>
      </c>
    </row>
    <row r="884" ht="15" customHeight="1" s="19">
      <c r="A884" s="24" t="n">
        <v>6085</v>
      </c>
      <c r="B884" s="25" t="inlineStr">
        <is>
          <t>Desarrollo de portales web y aplicaciones</t>
        </is>
      </c>
      <c r="C884" s="24" t="inlineStr">
        <is>
          <t>Desarrollo Web y E-Commerce</t>
        </is>
      </c>
      <c r="D884" s="25" t="inlineStr">
        <is>
          <t>Diseño Y Desarrollo De Portales Web Y Aplicaciones.</t>
        </is>
      </c>
      <c r="E884" s="26" t="n">
        <v>4500</v>
      </c>
      <c r="F884" s="27">
        <f>E884/Config!$B$1</f>
        <v/>
      </c>
      <c r="G884" s="24" t="inlineStr">
        <is>
          <t>Real</t>
        </is>
      </c>
    </row>
    <row r="885" ht="15" customHeight="1" s="19">
      <c r="A885" s="24" t="n">
        <v>7809</v>
      </c>
      <c r="B885" s="25" t="inlineStr">
        <is>
          <t>Desarrollo de portales web y aplicaciones</t>
        </is>
      </c>
      <c r="C885" s="24" t="inlineStr">
        <is>
          <t>Desarrollo Web y E-Commerce</t>
        </is>
      </c>
      <c r="D885" s="25" t="inlineStr">
        <is>
          <t>Diseño Y Desarrollo De Portales Web Y Aplicaciones.</t>
        </is>
      </c>
      <c r="E885" s="26" t="n">
        <v>3000</v>
      </c>
      <c r="F885" s="27">
        <f>E885/Config!$B$1</f>
        <v/>
      </c>
      <c r="G885" s="28" t="inlineStr">
        <is>
          <t>Estimado (mediana de categoría)</t>
        </is>
      </c>
    </row>
    <row r="886" ht="23.25" customHeight="1" s="19">
      <c r="A886" s="24" t="n">
        <v>6504</v>
      </c>
      <c r="B886" s="25" t="inlineStr">
        <is>
          <t>Desarrollo de sitio web</t>
        </is>
      </c>
      <c r="C886" s="24" t="inlineStr">
        <is>
          <t>Desarrollo Web y E-Commerce</t>
        </is>
      </c>
      <c r="D886" s="25" t="inlineStr">
        <is>
          <t>Creación De Sitios Web Modernos Y Funcionales Para Mejorar La Presencia Online.</t>
        </is>
      </c>
      <c r="E886" s="26" t="n">
        <v>3000</v>
      </c>
      <c r="F886" s="27">
        <f>E886/Config!$B$1</f>
        <v/>
      </c>
      <c r="G886" s="24" t="inlineStr">
        <is>
          <t>Real</t>
        </is>
      </c>
    </row>
    <row r="887" ht="23.25" customHeight="1" s="19">
      <c r="A887" s="24" t="n">
        <v>8206</v>
      </c>
      <c r="B887" s="25" t="inlineStr">
        <is>
          <t>Desarrollo de sitio web</t>
        </is>
      </c>
      <c r="C887" s="24" t="inlineStr">
        <is>
          <t>Desarrollo Web y E-Commerce</t>
        </is>
      </c>
      <c r="D887" s="25" t="inlineStr">
        <is>
          <t>Creación De Sitios Web Modernos Y Funcionales Para Mejorar La Presencia Online.</t>
        </is>
      </c>
      <c r="E887" s="26" t="n">
        <v>3000</v>
      </c>
      <c r="F887" s="27">
        <f>E887/Config!$B$1</f>
        <v/>
      </c>
      <c r="G887" s="28" t="inlineStr">
        <is>
          <t>Estimado (mediana de categoría)</t>
        </is>
      </c>
    </row>
    <row r="888" ht="23.25" customHeight="1" s="19">
      <c r="A888" s="24" t="n">
        <v>6334</v>
      </c>
      <c r="B888" s="25" t="inlineStr">
        <is>
          <t>Desarrollo de sitios web</t>
        </is>
      </c>
      <c r="C888" s="24" t="inlineStr">
        <is>
          <t>Desarrollo Web y E-Commerce</t>
        </is>
      </c>
      <c r="D888" s="25" t="inlineStr">
        <is>
          <t>Servicios De Creación Y Optimización De Sitios Web Para Empresas.</t>
        </is>
      </c>
      <c r="E888" s="26" t="n">
        <v>4500</v>
      </c>
      <c r="F888" s="27">
        <f>E888/Config!$B$1</f>
        <v/>
      </c>
      <c r="G888" s="24" t="inlineStr">
        <is>
          <t>Real</t>
        </is>
      </c>
    </row>
    <row r="889" ht="23.25" customHeight="1" s="19">
      <c r="A889" s="24" t="n">
        <v>8045</v>
      </c>
      <c r="B889" s="25" t="inlineStr">
        <is>
          <t>Desarrollo de sitios web</t>
        </is>
      </c>
      <c r="C889" s="24" t="inlineStr">
        <is>
          <t>Desarrollo Web y E-Commerce</t>
        </is>
      </c>
      <c r="D889" s="25" t="inlineStr">
        <is>
          <t>Servicios De Creación Y Optimización De Sitios Web Para Empresas.</t>
        </is>
      </c>
      <c r="E889" s="26" t="n">
        <v>3000</v>
      </c>
      <c r="F889" s="27">
        <f>E889/Config!$B$1</f>
        <v/>
      </c>
      <c r="G889" s="28" t="inlineStr">
        <is>
          <t>Estimado (mediana de categoría)</t>
        </is>
      </c>
    </row>
    <row r="890" ht="15" customHeight="1" s="19">
      <c r="A890" s="24" t="n">
        <v>6313</v>
      </c>
      <c r="B890" s="25" t="inlineStr">
        <is>
          <t>Desarrollo de software</t>
        </is>
      </c>
      <c r="C890" s="24" t="inlineStr">
        <is>
          <t>Desarrollo Web y E-Commerce</t>
        </is>
      </c>
      <c r="D890" s="25" t="inlineStr">
        <is>
          <t>Desarrollo De Software A Medida.</t>
        </is>
      </c>
      <c r="E890" s="26" t="n">
        <v>4500</v>
      </c>
      <c r="F890" s="27">
        <f>E890/Config!$B$1</f>
        <v/>
      </c>
      <c r="G890" s="24" t="inlineStr">
        <is>
          <t>Real</t>
        </is>
      </c>
    </row>
    <row r="891" ht="15" customHeight="1" s="19">
      <c r="A891" s="24" t="n">
        <v>8024</v>
      </c>
      <c r="B891" s="25" t="inlineStr">
        <is>
          <t>Desarrollo de software</t>
        </is>
      </c>
      <c r="C891" s="24" t="inlineStr">
        <is>
          <t>Desarrollo Web y E-Commerce</t>
        </is>
      </c>
      <c r="D891" s="25" t="inlineStr">
        <is>
          <t>Desarrollo De Software A Medida.</t>
        </is>
      </c>
      <c r="E891" s="26" t="n">
        <v>3000</v>
      </c>
      <c r="F891" s="27">
        <f>E891/Config!$B$1</f>
        <v/>
      </c>
      <c r="G891" s="28" t="inlineStr">
        <is>
          <t>Estimado (mediana de categoría)</t>
        </is>
      </c>
    </row>
    <row r="892" ht="23.25" customHeight="1" s="19">
      <c r="A892" s="24" t="n">
        <v>6355</v>
      </c>
      <c r="B892" s="25" t="inlineStr">
        <is>
          <t>Desarrollo de soluciones blockchain</t>
        </is>
      </c>
      <c r="C892" s="24" t="inlineStr">
        <is>
          <t>Desarrollo Web y E-Commerce</t>
        </is>
      </c>
      <c r="D892" s="25" t="inlineStr">
        <is>
          <t>Servicios De Creación De Soluciones Blockchain Para Diversos Sectores Y Casos De Uso.</t>
        </is>
      </c>
      <c r="E892" s="26" t="n">
        <v>16200</v>
      </c>
      <c r="F892" s="27">
        <f>E892/Config!$B$1</f>
        <v/>
      </c>
      <c r="G892" s="24" t="inlineStr">
        <is>
          <t>Real</t>
        </is>
      </c>
    </row>
    <row r="893" ht="34.5" customHeight="1" s="19">
      <c r="A893" s="24" t="n">
        <v>6373</v>
      </c>
      <c r="B893" s="25" t="inlineStr">
        <is>
          <t>Desarrollo de soluciones de blockchain</t>
        </is>
      </c>
      <c r="C893" s="24" t="inlineStr">
        <is>
          <t>Desarrollo Web y E-Commerce</t>
        </is>
      </c>
      <c r="D893" s="25" t="inlineStr">
        <is>
          <t>Servicios De Creación De Soluciones Blockchain Para Áreas Como Finanzas, Cadena De Suministro Y Certificación.</t>
        </is>
      </c>
      <c r="E893" s="26" t="n">
        <v>22500</v>
      </c>
      <c r="F893" s="27">
        <f>E893/Config!$B$1</f>
        <v/>
      </c>
      <c r="G893" s="24" t="inlineStr">
        <is>
          <t>Real</t>
        </is>
      </c>
    </row>
    <row r="894" ht="34.5" customHeight="1" s="19">
      <c r="A894" s="24" t="n">
        <v>6366</v>
      </c>
      <c r="B894" s="25" t="inlineStr">
        <is>
          <t>Desarrollo de soluciones de comercio electrónico</t>
        </is>
      </c>
      <c r="C894" s="24" t="inlineStr">
        <is>
          <t>Desarrollo Web y E-Commerce</t>
        </is>
      </c>
      <c r="D894" s="25" t="inlineStr">
        <is>
          <t>Servicios De Creación De Soluciones De Comercio Electrónico B2C Y B2B Con Funcionalidades Avanzadas.</t>
        </is>
      </c>
      <c r="E894" s="26" t="n">
        <v>18000</v>
      </c>
      <c r="F894" s="27">
        <f>E894/Config!$B$1</f>
        <v/>
      </c>
      <c r="G894" s="24" t="inlineStr">
        <is>
          <t>Real</t>
        </is>
      </c>
    </row>
    <row r="895" ht="34.5" customHeight="1" s="19">
      <c r="A895" s="24" t="n">
        <v>8077</v>
      </c>
      <c r="B895" s="25" t="inlineStr">
        <is>
          <t>Desarrollo de soluciones de comercio electrónico</t>
        </is>
      </c>
      <c r="C895" s="24" t="inlineStr">
        <is>
          <t>Desarrollo Web y E-Commerce</t>
        </is>
      </c>
      <c r="D895" s="25" t="inlineStr">
        <is>
          <t>Servicios De Creación De Soluciones De Comercio Electrónico B2C Y B2B Con Funcionalidades Avanzadas.</t>
        </is>
      </c>
      <c r="E895" s="26" t="n">
        <v>3000</v>
      </c>
      <c r="F895" s="27">
        <f>E895/Config!$B$1</f>
        <v/>
      </c>
      <c r="G895" s="28" t="inlineStr">
        <is>
          <t>Estimado (mediana de categoría)</t>
        </is>
      </c>
    </row>
    <row r="896" ht="34.5" customHeight="1" s="19">
      <c r="A896" s="24" t="n">
        <v>6357</v>
      </c>
      <c r="B896" s="25" t="inlineStr">
        <is>
          <t>Desarrollo de soluciones de realidad aumentada</t>
        </is>
      </c>
      <c r="C896" s="24" t="inlineStr">
        <is>
          <t>Desarrollo Web y E-Commerce</t>
        </is>
      </c>
      <c r="D896" s="25" t="inlineStr">
        <is>
          <t>Servicios De Creación De Soluciones De Realidad Aumentada Para Aplicaciones Empresariales Y De Consumo.</t>
        </is>
      </c>
      <c r="E896" s="26" t="n">
        <v>14400</v>
      </c>
      <c r="F896" s="27">
        <f>E896/Config!$B$1</f>
        <v/>
      </c>
      <c r="G896" s="24" t="inlineStr">
        <is>
          <t>Real</t>
        </is>
      </c>
    </row>
    <row r="897" ht="23.25" customHeight="1" s="19">
      <c r="A897" s="24" t="n">
        <v>6369</v>
      </c>
      <c r="B897" s="25" t="inlineStr">
        <is>
          <t>Desarrollo de soluciones de realidad virtual</t>
        </is>
      </c>
      <c r="C897" s="24" t="inlineStr">
        <is>
          <t>Desarrollo Web y E-Commerce</t>
        </is>
      </c>
      <c r="D897" s="25" t="inlineStr">
        <is>
          <t>Servicios De Creación De Soluciones De Realidad Virtual Para Entornos Empresariales Y De Consumo.</t>
        </is>
      </c>
      <c r="E897" s="26" t="n">
        <v>18000</v>
      </c>
      <c r="F897" s="27">
        <f>E897/Config!$B$1</f>
        <v/>
      </c>
      <c r="G897" s="24" t="inlineStr">
        <is>
          <t>Real</t>
        </is>
      </c>
    </row>
    <row r="898" ht="15" customHeight="1" s="19">
      <c r="A898" s="24" t="n">
        <v>6478</v>
      </c>
      <c r="B898" s="25" t="inlineStr">
        <is>
          <t>Desarrollo de tienda online</t>
        </is>
      </c>
      <c r="C898" s="24" t="inlineStr">
        <is>
          <t>Desarrollo Web y E-Commerce</t>
        </is>
      </c>
      <c r="D898" s="25" t="inlineStr">
        <is>
          <t>Creación De Tiendas Online Personalizadas.</t>
        </is>
      </c>
      <c r="E898" s="26" t="n">
        <v>2800</v>
      </c>
      <c r="F898" s="27">
        <f>E898/Config!$B$1</f>
        <v/>
      </c>
      <c r="G898" s="24" t="inlineStr">
        <is>
          <t>Real</t>
        </is>
      </c>
    </row>
    <row r="899" ht="15" customHeight="1" s="19">
      <c r="A899" s="24" t="n">
        <v>8188</v>
      </c>
      <c r="B899" s="25" t="inlineStr">
        <is>
          <t>Desarrollo de tienda online</t>
        </is>
      </c>
      <c r="C899" s="24" t="inlineStr">
        <is>
          <t>Desarrollo Web y E-Commerce</t>
        </is>
      </c>
      <c r="D899" s="25" t="inlineStr">
        <is>
          <t>Creación De Tiendas Online Personalizadas.</t>
        </is>
      </c>
      <c r="E899" s="26" t="n">
        <v>3000</v>
      </c>
      <c r="F899" s="27">
        <f>E899/Config!$B$1</f>
        <v/>
      </c>
      <c r="G899" s="28" t="inlineStr">
        <is>
          <t>Estimado (mediana de categoría)</t>
        </is>
      </c>
    </row>
    <row r="900" ht="23.25" customHeight="1" s="19">
      <c r="A900" s="24" t="n">
        <v>6346</v>
      </c>
      <c r="B900" s="25" t="inlineStr">
        <is>
          <t>Desarrollo de videojuegos</t>
        </is>
      </c>
      <c r="C900" s="24" t="inlineStr">
        <is>
          <t>Desarrollo Web y E-Commerce</t>
        </is>
      </c>
      <c r="D900" s="25" t="inlineStr">
        <is>
          <t>Servicios De Creación De Videojuegos Y Aplicaciones De Entretenimiento Digital.</t>
        </is>
      </c>
      <c r="E900" s="26" t="n">
        <v>22500</v>
      </c>
      <c r="F900" s="27">
        <f>E900/Config!$B$1</f>
        <v/>
      </c>
      <c r="G900" s="24" t="inlineStr">
        <is>
          <t>Real</t>
        </is>
      </c>
    </row>
    <row r="901" ht="23.25" customHeight="1" s="19">
      <c r="A901" s="24" t="n">
        <v>8057</v>
      </c>
      <c r="B901" s="25" t="inlineStr">
        <is>
          <t>Desarrollo de videojuegos</t>
        </is>
      </c>
      <c r="C901" s="24" t="inlineStr">
        <is>
          <t>Desarrollo Web y E-Commerce</t>
        </is>
      </c>
      <c r="D901" s="25" t="inlineStr">
        <is>
          <t>Servicios De Creación De Videojuegos Y Aplicaciones De Entretenimiento Digital.</t>
        </is>
      </c>
      <c r="E901" s="26" t="n">
        <v>3000</v>
      </c>
      <c r="F901" s="27">
        <f>E901/Config!$B$1</f>
        <v/>
      </c>
      <c r="G901" s="28" t="inlineStr">
        <is>
          <t>Estimado (mediana de categoría)</t>
        </is>
      </c>
    </row>
    <row r="902" ht="23.25" customHeight="1" s="19">
      <c r="A902" s="24" t="n">
        <v>7485</v>
      </c>
      <c r="B902" s="25" t="inlineStr">
        <is>
          <t>Diseño Personalizado Completo: Crea tu Propia Marca Única</t>
        </is>
      </c>
      <c r="C902" s="24" t="inlineStr">
        <is>
          <t>Desarrollo Web y E-Commerce</t>
        </is>
      </c>
      <c r="D902" s="25" t="inlineStr">
        <is>
          <t>Diseño Personalizado Completo: Creá tu propio mundo, a tu medida.</t>
        </is>
      </c>
      <c r="E902" s="26" t="n">
        <v>3000</v>
      </c>
      <c r="F902" s="27">
        <f>E902/Config!$B$1</f>
        <v/>
      </c>
      <c r="G902" s="28" t="inlineStr">
        <is>
          <t>Estimado (mediana de categoría)</t>
        </is>
      </c>
    </row>
    <row r="903" ht="15" customHeight="1" s="19">
      <c r="A903" s="24" t="n">
        <v>6926</v>
      </c>
      <c r="B903" s="25" t="inlineStr">
        <is>
          <t>Diseño UX/UI</t>
        </is>
      </c>
      <c r="C903" s="24" t="inlineStr">
        <is>
          <t>Desarrollo Web y E-Commerce</t>
        </is>
      </c>
      <c r="D903" s="25" t="inlineStr">
        <is>
          <t>Diseño De Interfaces De Usuario</t>
        </is>
      </c>
      <c r="E903" s="26" t="n">
        <v>1100</v>
      </c>
      <c r="F903" s="27">
        <f>E903/Config!$B$1</f>
        <v/>
      </c>
      <c r="G903" s="24" t="inlineStr">
        <is>
          <t>Real</t>
        </is>
      </c>
    </row>
    <row r="904" ht="15" customHeight="1" s="19">
      <c r="A904" s="24" t="n">
        <v>6849</v>
      </c>
      <c r="B904" s="25" t="inlineStr">
        <is>
          <t>Diseño Web Personalizado</t>
        </is>
      </c>
      <c r="C904" s="24" t="inlineStr">
        <is>
          <t>Desarrollo Web y E-Commerce</t>
        </is>
      </c>
      <c r="D904" s="25" t="inlineStr">
        <is>
          <t>Diseño Web A Medida.</t>
        </is>
      </c>
      <c r="E904" s="26" t="n">
        <v>700</v>
      </c>
      <c r="F904" s="27">
        <f>E904/Config!$B$1</f>
        <v/>
      </c>
      <c r="G904" s="24" t="inlineStr">
        <is>
          <t>Real</t>
        </is>
      </c>
    </row>
    <row r="905" ht="15" customHeight="1" s="19">
      <c r="A905" s="24" t="n">
        <v>6934</v>
      </c>
      <c r="B905" s="25" t="inlineStr">
        <is>
          <t>Diseño Web Responsive</t>
        </is>
      </c>
      <c r="C905" s="24" t="inlineStr">
        <is>
          <t>Desarrollo Web y E-Commerce</t>
        </is>
      </c>
      <c r="D905" s="25" t="inlineStr">
        <is>
          <t>Diseño Web Responsive</t>
        </is>
      </c>
      <c r="E905" s="26" t="n">
        <v>2800</v>
      </c>
      <c r="F905" s="27">
        <f>E905/Config!$B$1</f>
        <v/>
      </c>
      <c r="G905" s="24" t="inlineStr">
        <is>
          <t>Real</t>
        </is>
      </c>
    </row>
    <row r="906" ht="34.5" customHeight="1" s="19">
      <c r="A906" s="24" t="n">
        <v>6529</v>
      </c>
      <c r="B906" s="25" t="inlineStr">
        <is>
          <t>Diseño de Tienda Online: Crea tu Plataforma de Ecommerce Personalizada</t>
        </is>
      </c>
      <c r="C906" s="24" t="inlineStr">
        <is>
          <t>Desarrollo Web y E-Commerce</t>
        </is>
      </c>
      <c r="D906" s="25" t="inlineStr">
        <is>
          <t>Servicio de diseño y desarrollo de tiendas online para crear una presencia en línea impactante, impulsar las ventas y mejorar la experiencia del cliente.</t>
        </is>
      </c>
      <c r="E906" s="26" t="n">
        <v>1500</v>
      </c>
      <c r="F906" s="27">
        <f>E906/Config!$B$1</f>
        <v/>
      </c>
      <c r="G906" s="24" t="inlineStr">
        <is>
          <t>Real</t>
        </is>
      </c>
    </row>
    <row r="907" ht="23.25" customHeight="1" s="19">
      <c r="A907" s="24" t="n">
        <v>8231</v>
      </c>
      <c r="B907" s="25" t="inlineStr">
        <is>
          <t>Diseño de Tienda Online: Creá tu Plataforma de Ecommerce Personalizada</t>
        </is>
      </c>
      <c r="C907" s="24" t="inlineStr">
        <is>
          <t>Desarrollo Web y E-Commerce</t>
        </is>
      </c>
      <c r="D907" s="25" t="inlineStr">
        <is>
          <t>Diseño de Tienda Online: Creá tu Plataforma de Ecommerce Personalizada</t>
        </is>
      </c>
      <c r="E907" s="26" t="n">
        <v>3000</v>
      </c>
      <c r="F907" s="27">
        <f>E907/Config!$B$1</f>
        <v/>
      </c>
      <c r="G907" s="28" t="inlineStr">
        <is>
          <t>Estimado (mediana de categoría)</t>
        </is>
      </c>
    </row>
    <row r="908" ht="57" customHeight="1" s="19">
      <c r="A908" s="24" t="n">
        <v>6651</v>
      </c>
      <c r="B908" s="25" t="inlineStr">
        <is>
          <t>Diseño de Tienda Virtual: Crea una Experiencia de Compra Inolvidable</t>
        </is>
      </c>
      <c r="C908" s="24" t="inlineStr">
        <is>
          <t>Desarrollo Web y E-Commerce</t>
        </is>
      </c>
      <c r="D908" s="25" t="inlineStr">
        <is>
          <t>Diseño de Tienda Virtual: Creá una experiencia de compra online excepcional con una interfaz visual atractiva, optimización para dispositivos móviles, integración de pasarelas de pago, gestión de inventario y análisis.</t>
        </is>
      </c>
      <c r="E908" s="26" t="n">
        <v>1000</v>
      </c>
      <c r="F908" s="27">
        <f>E908/Config!$B$1</f>
        <v/>
      </c>
      <c r="G908" s="24" t="inlineStr">
        <is>
          <t>Real</t>
        </is>
      </c>
    </row>
    <row r="909" ht="57" customHeight="1" s="19">
      <c r="A909" s="24" t="n">
        <v>8352</v>
      </c>
      <c r="B909" s="25" t="inlineStr">
        <is>
          <t>Diseño de Tienda Virtual: Creá una Experiencia de Compra Online Inolvidable</t>
        </is>
      </c>
      <c r="C909" s="24" t="inlineStr">
        <is>
          <t>Desarrollo Web y E-Commerce</t>
        </is>
      </c>
      <c r="D909" s="25" t="inlineStr">
        <is>
          <t>Diseño de Tienda Virtual: Creá una experiencia de compra online excepcional con una interfaz visual atractiva, optimización para dispositivos móviles, integración de pasarelas de pago, gestión de inventario y análisis avanzados.</t>
        </is>
      </c>
      <c r="E909" s="26" t="n">
        <v>3000</v>
      </c>
      <c r="F909" s="27">
        <f>E909/Config!$B$1</f>
        <v/>
      </c>
      <c r="G909" s="28" t="inlineStr">
        <is>
          <t>Estimado (mediana de categoría)</t>
        </is>
      </c>
    </row>
    <row r="910" ht="15" customHeight="1" s="19">
      <c r="A910" s="24" t="n">
        <v>6931</v>
      </c>
      <c r="B910" s="25" t="inlineStr">
        <is>
          <t>Diseño de UX/UI</t>
        </is>
      </c>
      <c r="C910" s="24" t="inlineStr">
        <is>
          <t>Desarrollo Web y E-Commerce</t>
        </is>
      </c>
      <c r="D910" s="25" t="inlineStr">
        <is>
          <t>Diseño De Experiencias De Usuario Y Interfaces</t>
        </is>
      </c>
      <c r="E910" s="26" t="n">
        <v>1800</v>
      </c>
      <c r="F910" s="27">
        <f>E910/Config!$B$1</f>
        <v/>
      </c>
      <c r="G910" s="24" t="inlineStr">
        <is>
          <t>Real</t>
        </is>
      </c>
    </row>
    <row r="911" ht="23.25" customHeight="1" s="19">
      <c r="A911" s="24" t="n">
        <v>6511</v>
      </c>
      <c r="B911" s="25" t="inlineStr">
        <is>
          <t>Diseño de página web</t>
        </is>
      </c>
      <c r="C911" s="24" t="inlineStr">
        <is>
          <t>Desarrollo Web y E-Commerce</t>
        </is>
      </c>
      <c r="D911" s="25" t="inlineStr">
        <is>
          <t>Creación De Una Página Web Profesional Y Funcional Para Representar La Marca En Línea.</t>
        </is>
      </c>
      <c r="E911" s="26" t="n">
        <v>2500</v>
      </c>
      <c r="F911" s="27">
        <f>E911/Config!$B$1</f>
        <v/>
      </c>
      <c r="G911" s="24" t="inlineStr">
        <is>
          <t>Real</t>
        </is>
      </c>
    </row>
    <row r="912" ht="23.25" customHeight="1" s="19">
      <c r="A912" s="24" t="n">
        <v>8213</v>
      </c>
      <c r="B912" s="25" t="inlineStr">
        <is>
          <t>Diseño de página web</t>
        </is>
      </c>
      <c r="C912" s="24" t="inlineStr">
        <is>
          <t>Desarrollo Web y E-Commerce</t>
        </is>
      </c>
      <c r="D912" s="25" t="inlineStr">
        <is>
          <t>Creación De Una Página Web Profesional Y Funcional Para Representar La Marca En Línea.</t>
        </is>
      </c>
      <c r="E912" s="26" t="n">
        <v>3000</v>
      </c>
      <c r="F912" s="27">
        <f>E912/Config!$B$1</f>
        <v/>
      </c>
      <c r="G912" s="28" t="inlineStr">
        <is>
          <t>Estimado (mediana de categoría)</t>
        </is>
      </c>
    </row>
    <row r="913" ht="23.25" customHeight="1" s="19">
      <c r="A913" s="24" t="n">
        <v>6523</v>
      </c>
      <c r="B913" s="25" t="inlineStr">
        <is>
          <t>Diseño de páginas web</t>
        </is>
      </c>
      <c r="C913" s="24" t="inlineStr">
        <is>
          <t>Desarrollo Web y E-Commerce</t>
        </is>
      </c>
      <c r="D913" s="25" t="inlineStr">
        <is>
          <t>Servicio De Diseño Y Desarrollo De Páginas Web Profesionales.</t>
        </is>
      </c>
      <c r="E913" s="26" t="n">
        <v>1500</v>
      </c>
      <c r="F913" s="27">
        <f>E913/Config!$B$1</f>
        <v/>
      </c>
      <c r="G913" s="24" t="inlineStr">
        <is>
          <t>Real</t>
        </is>
      </c>
    </row>
    <row r="914" ht="23.25" customHeight="1" s="19">
      <c r="A914" s="24" t="n">
        <v>8225</v>
      </c>
      <c r="B914" s="25" t="inlineStr">
        <is>
          <t>Diseño de páginas web</t>
        </is>
      </c>
      <c r="C914" s="24" t="inlineStr">
        <is>
          <t>Desarrollo Web y E-Commerce</t>
        </is>
      </c>
      <c r="D914" s="25" t="inlineStr">
        <is>
          <t>Servicio De Diseño Y Desarrollo De Páginas Web Profesionales.</t>
        </is>
      </c>
      <c r="E914" s="26" t="n">
        <v>3000</v>
      </c>
      <c r="F914" s="27">
        <f>E914/Config!$B$1</f>
        <v/>
      </c>
      <c r="G914" s="28" t="inlineStr">
        <is>
          <t>Estimado (mediana de categoría)</t>
        </is>
      </c>
    </row>
    <row r="915" ht="15" customHeight="1" s="19">
      <c r="A915" s="24" t="n">
        <v>7582</v>
      </c>
      <c r="B915" s="25" t="inlineStr">
        <is>
          <t>Diseño de sitio web corporativo</t>
        </is>
      </c>
      <c r="C915" s="24" t="inlineStr">
        <is>
          <t>Desarrollo Web y E-Commerce</t>
        </is>
      </c>
      <c r="D915" s="25" t="inlineStr">
        <is>
          <t>Diseño De Sitios Corporativos</t>
        </is>
      </c>
      <c r="E915" s="26" t="n">
        <v>630</v>
      </c>
      <c r="F915" s="27">
        <f>E915/Config!$B$1</f>
        <v/>
      </c>
      <c r="G915" s="24" t="inlineStr">
        <is>
          <t>Real</t>
        </is>
      </c>
    </row>
    <row r="916" ht="23.25" customHeight="1" s="19">
      <c r="A916" s="24" t="n">
        <v>6460</v>
      </c>
      <c r="B916" s="25" t="inlineStr">
        <is>
          <t>Diseño de sitios web</t>
        </is>
      </c>
      <c r="C916" s="24" t="inlineStr">
        <is>
          <t>Desarrollo Web y E-Commerce</t>
        </is>
      </c>
      <c r="D916" s="25" t="inlineStr">
        <is>
          <t>Servicio De Diseño Y Desarrollo De Sitios Web A La Medida.</t>
        </is>
      </c>
      <c r="E916" s="26" t="n">
        <v>1000</v>
      </c>
      <c r="F916" s="27">
        <f>E916/Config!$B$1</f>
        <v/>
      </c>
      <c r="G916" s="24" t="inlineStr">
        <is>
          <t>Real</t>
        </is>
      </c>
    </row>
    <row r="917" ht="23.25" customHeight="1" s="19">
      <c r="A917" s="24" t="n">
        <v>8171</v>
      </c>
      <c r="B917" s="25" t="inlineStr">
        <is>
          <t>Diseño de sitios web</t>
        </is>
      </c>
      <c r="C917" s="24" t="inlineStr">
        <is>
          <t>Desarrollo Web y E-Commerce</t>
        </is>
      </c>
      <c r="D917" s="25" t="inlineStr">
        <is>
          <t>Servicio De Diseño Y Desarrollo De Sitios Web A La Medida.</t>
        </is>
      </c>
      <c r="E917" s="26" t="n">
        <v>3000</v>
      </c>
      <c r="F917" s="27">
        <f>E917/Config!$B$1</f>
        <v/>
      </c>
      <c r="G917" s="28" t="inlineStr">
        <is>
          <t>Estimado (mediana de categoría)</t>
        </is>
      </c>
    </row>
    <row r="918" ht="15" customHeight="1" s="19">
      <c r="A918" s="24" t="n">
        <v>6014</v>
      </c>
      <c r="B918" s="25" t="inlineStr">
        <is>
          <t>Diseño y Desarrollo Web</t>
        </is>
      </c>
      <c r="C918" s="24" t="inlineStr">
        <is>
          <t>Desarrollo Web y E-Commerce</t>
        </is>
      </c>
      <c r="D918" s="25" t="inlineStr">
        <is>
          <t>Desarrollo De Portales Web</t>
        </is>
      </c>
      <c r="E918" s="26" t="n">
        <v>3000</v>
      </c>
      <c r="F918" s="27">
        <f>E918/Config!$B$1</f>
        <v/>
      </c>
      <c r="G918" s="28" t="inlineStr">
        <is>
          <t>Estimado (mediana de categoría)</t>
        </is>
      </c>
    </row>
    <row r="919" ht="34.5" customHeight="1" s="19">
      <c r="A919" s="24" t="n">
        <v>7480</v>
      </c>
      <c r="B919" s="25" t="inlineStr">
        <is>
          <t>Diseño y Desarrollo Web Avanzado: Crea Sitios Web Potentes y Atractivos</t>
        </is>
      </c>
      <c r="C919" s="24" t="inlineStr">
        <is>
          <t>Desarrollo Web y E-Commerce</t>
        </is>
      </c>
      <c r="D919" s="25" t="inlineStr">
        <is>
          <t>Diseño y Desarrollo Web Avanzado: Sitios web personalizados y efectivos para impulsar el crecimiento y el éxito.</t>
        </is>
      </c>
      <c r="E919" s="26" t="n">
        <v>3000</v>
      </c>
      <c r="F919" s="27">
        <f>E919/Config!$B$1</f>
        <v/>
      </c>
      <c r="G919" s="28" t="inlineStr">
        <is>
          <t>Estimado (mediana de categoría)</t>
        </is>
      </c>
    </row>
    <row r="920" ht="45.75" customHeight="1" s="19">
      <c r="A920" s="24" t="n">
        <v>7475</v>
      </c>
      <c r="B920" s="25" t="inlineStr">
        <is>
          <t>Diseño y Desarrollo de Sitio Web Básico: Crea tu presencia en línea profesional</t>
        </is>
      </c>
      <c r="C920" s="24" t="inlineStr">
        <is>
          <t>Desarrollo Web y E-Commerce</t>
        </is>
      </c>
      <c r="D920" s="25" t="inlineStr">
        <is>
          <t>Diseño y Desarrollo de Sitio Web Básico: Creá tu presencia online profesional con un sitio web responsivo, optimizado para SEO y con soporte técnico.</t>
        </is>
      </c>
      <c r="E920" s="26" t="n">
        <v>3000</v>
      </c>
      <c r="F920" s="27">
        <f>E920/Config!$B$1</f>
        <v/>
      </c>
      <c r="G920" s="28" t="inlineStr">
        <is>
          <t>Estimado (mediana de categoría)</t>
        </is>
      </c>
    </row>
    <row r="921" ht="15" customHeight="1" s="19">
      <c r="A921" s="24" t="n">
        <v>6117</v>
      </c>
      <c r="B921" s="25" t="inlineStr">
        <is>
          <t>Diseño y Desarrollo de UI/UX</t>
        </is>
      </c>
      <c r="C921" s="24" t="inlineStr">
        <is>
          <t>Desarrollo Web y E-Commerce</t>
        </is>
      </c>
      <c r="D921" s="25" t="inlineStr">
        <is>
          <t>Diseño Y Desarrollo De Ui/Ux</t>
        </is>
      </c>
      <c r="E921" s="26" t="n">
        <v>4500</v>
      </c>
      <c r="F921" s="27">
        <f>E921/Config!$B$1</f>
        <v/>
      </c>
      <c r="G921" s="24" t="inlineStr">
        <is>
          <t>Real</t>
        </is>
      </c>
    </row>
    <row r="922" ht="15" customHeight="1" s="19">
      <c r="A922" s="24" t="n">
        <v>7841</v>
      </c>
      <c r="B922" s="25" t="inlineStr">
        <is>
          <t>Diseño y Desarrollo de UI/UX</t>
        </is>
      </c>
      <c r="C922" s="24" t="inlineStr">
        <is>
          <t>Desarrollo Web y E-Commerce</t>
        </is>
      </c>
      <c r="D922" s="25" t="inlineStr">
        <is>
          <t>Diseño Y Desarrollo De Ui/Ux</t>
        </is>
      </c>
      <c r="E922" s="26" t="n">
        <v>3000</v>
      </c>
      <c r="F922" s="27">
        <f>E922/Config!$B$1</f>
        <v/>
      </c>
      <c r="G922" s="28" t="inlineStr">
        <is>
          <t>Estimado (mediana de categoría)</t>
        </is>
      </c>
    </row>
    <row r="923" ht="23.25" customHeight="1" s="19">
      <c r="A923" s="24" t="n">
        <v>6079</v>
      </c>
      <c r="B923" s="25" t="inlineStr">
        <is>
          <t>Diseño y desarrollo de aplicaciones web</t>
        </is>
      </c>
      <c r="C923" s="24" t="inlineStr">
        <is>
          <t>Desarrollo Web y E-Commerce</t>
        </is>
      </c>
      <c r="D923" s="25" t="inlineStr">
        <is>
          <t>Diseño Y Desarrollo De Aplicaciones Web Con Microservicios.</t>
        </is>
      </c>
      <c r="E923" s="26" t="n">
        <v>5500</v>
      </c>
      <c r="F923" s="27">
        <f>E923/Config!$B$1</f>
        <v/>
      </c>
      <c r="G923" s="24" t="inlineStr">
        <is>
          <t>Real</t>
        </is>
      </c>
    </row>
    <row r="924" ht="23.25" customHeight="1" s="19">
      <c r="A924" s="24" t="n">
        <v>7803</v>
      </c>
      <c r="B924" s="25" t="inlineStr">
        <is>
          <t>Diseño y desarrollo de aplicaciones web</t>
        </is>
      </c>
      <c r="C924" s="24" t="inlineStr">
        <is>
          <t>Desarrollo Web y E-Commerce</t>
        </is>
      </c>
      <c r="D924" s="25" t="inlineStr">
        <is>
          <t>Diseño Y Desarrollo De Aplicaciones Web Con Microservicios.</t>
        </is>
      </c>
      <c r="E924" s="26" t="n">
        <v>3000</v>
      </c>
      <c r="F924" s="27">
        <f>E924/Config!$B$1</f>
        <v/>
      </c>
      <c r="G924" s="28" t="inlineStr">
        <is>
          <t>Estimado (mediana de categoría)</t>
        </is>
      </c>
    </row>
    <row r="925" ht="15" customHeight="1" s="19">
      <c r="A925" s="24" t="n">
        <v>5921</v>
      </c>
      <c r="B925" s="25" t="inlineStr">
        <is>
          <t>Diseño y desarrollo de interfaces de usuario</t>
        </is>
      </c>
      <c r="C925" s="24" t="inlineStr">
        <is>
          <t>Desarrollo Web y E-Commerce</t>
        </is>
      </c>
      <c r="D925" s="25" t="inlineStr">
        <is>
          <t>Diseño Y Desarrollo De Ui/Ux</t>
        </is>
      </c>
      <c r="E925" s="26" t="n">
        <v>5000</v>
      </c>
      <c r="F925" s="27">
        <f>E925/Config!$B$1</f>
        <v/>
      </c>
      <c r="G925" s="24" t="inlineStr">
        <is>
          <t>Real</t>
        </is>
      </c>
    </row>
    <row r="926" ht="15" customHeight="1" s="19">
      <c r="A926" s="24" t="n">
        <v>7703</v>
      </c>
      <c r="B926" s="25" t="inlineStr">
        <is>
          <t>Diseño y desarrollo de interfaces de usuario</t>
        </is>
      </c>
      <c r="C926" s="24" t="inlineStr">
        <is>
          <t>Desarrollo Web y E-Commerce</t>
        </is>
      </c>
      <c r="D926" s="25" t="inlineStr">
        <is>
          <t>Diseño Y Desarrollo De Ui/Ux</t>
        </is>
      </c>
      <c r="E926" s="26" t="n">
        <v>3000</v>
      </c>
      <c r="F926" s="27">
        <f>E926/Config!$B$1</f>
        <v/>
      </c>
      <c r="G926" s="28" t="inlineStr">
        <is>
          <t>Estimado (mediana de categoría)</t>
        </is>
      </c>
    </row>
    <row r="927" ht="23.25" customHeight="1" s="19">
      <c r="A927" s="24" t="n">
        <v>6871</v>
      </c>
      <c r="B927" s="25" t="inlineStr">
        <is>
          <t>Diseño y desarrollo de sitios web</t>
        </is>
      </c>
      <c r="C927" s="24" t="inlineStr">
        <is>
          <t>Desarrollo Web y E-Commerce</t>
        </is>
      </c>
      <c r="D927" s="25" t="inlineStr">
        <is>
          <t>Diseño Web Personalizado Con Enfoque En Usabilidad Y Seo.</t>
        </is>
      </c>
      <c r="E927" s="26" t="n">
        <v>3600</v>
      </c>
      <c r="F927" s="27">
        <f>E927/Config!$B$1</f>
        <v/>
      </c>
      <c r="G927" s="24" t="inlineStr">
        <is>
          <t>Real</t>
        </is>
      </c>
    </row>
    <row r="928" ht="23.25" customHeight="1" s="19">
      <c r="A928" s="24" t="n">
        <v>7464</v>
      </c>
      <c r="B928" s="25" t="inlineStr">
        <is>
          <t>Diseño y desarrollo web básico: crea tu sitio web profesional hoy</t>
        </is>
      </c>
      <c r="C928" s="24" t="inlineStr">
        <is>
          <t>Desarrollo Web y E-Commerce</t>
        </is>
      </c>
      <c r="D928" s="25" t="inlineStr">
        <is>
          <t>Diseño y desarrollo básico de sitio web: tu presencia online profesional</t>
        </is>
      </c>
      <c r="E928" s="26" t="n">
        <v>3000</v>
      </c>
      <c r="F928" s="27">
        <f>E928/Config!$B$1</f>
        <v/>
      </c>
      <c r="G928" s="28" t="inlineStr">
        <is>
          <t>Estimado (mediana de categoría)</t>
        </is>
      </c>
    </row>
    <row r="929" ht="23.25" customHeight="1" s="19">
      <c r="A929" s="24" t="n">
        <v>8252</v>
      </c>
      <c r="B929" s="25" t="inlineStr">
        <is>
          <t>Dropshipping: Solución integral para tu e-commerce: Integración perfecta, automatización y soporte dedicado</t>
        </is>
      </c>
      <c r="C929" s="24" t="inlineStr">
        <is>
          <t>Desarrollo Web y E-Commerce</t>
        </is>
      </c>
      <c r="D929" s="25" t="inlineStr">
        <is>
          <t>Dropshipping: Solución integral para tu e-commerce</t>
        </is>
      </c>
      <c r="E929" s="26" t="n">
        <v>3000</v>
      </c>
      <c r="F929" s="27">
        <f>E929/Config!$B$1</f>
        <v/>
      </c>
      <c r="G929" s="28" t="inlineStr">
        <is>
          <t>Estimado (mediana de categoría)</t>
        </is>
      </c>
    </row>
    <row r="930" ht="15" customHeight="1" s="19">
      <c r="A930" s="24" t="n">
        <v>5908</v>
      </c>
      <c r="B930" s="25" t="inlineStr">
        <is>
          <t>E-Commerce</t>
        </is>
      </c>
      <c r="C930" s="24" t="inlineStr">
        <is>
          <t>Desarrollo Web y E-Commerce</t>
        </is>
      </c>
      <c r="D930" s="25" t="inlineStr">
        <is>
          <t>E-Commerce Con Wordpress Y Woocommerce</t>
        </is>
      </c>
      <c r="E930" s="26" t="n">
        <v>5500</v>
      </c>
      <c r="F930" s="27">
        <f>E930/Config!$B$1</f>
        <v/>
      </c>
      <c r="G930" s="24" t="inlineStr">
        <is>
          <t>Real</t>
        </is>
      </c>
    </row>
    <row r="931" ht="15" customHeight="1" s="19">
      <c r="A931" s="24" t="n">
        <v>7690</v>
      </c>
      <c r="B931" s="25" t="inlineStr">
        <is>
          <t>E-Commerce</t>
        </is>
      </c>
      <c r="C931" s="24" t="inlineStr">
        <is>
          <t>Desarrollo Web y E-Commerce</t>
        </is>
      </c>
      <c r="D931" s="25" t="inlineStr">
        <is>
          <t>E-Commerce Con Wordpress Y Woocommerce</t>
        </is>
      </c>
      <c r="E931" s="26" t="n">
        <v>3000</v>
      </c>
      <c r="F931" s="27">
        <f>E931/Config!$B$1</f>
        <v/>
      </c>
      <c r="G931" s="28" t="inlineStr">
        <is>
          <t>Estimado (mediana de categoría)</t>
        </is>
      </c>
    </row>
    <row r="932" ht="15" customHeight="1" s="19">
      <c r="A932" s="24" t="n">
        <v>6174</v>
      </c>
      <c r="B932" s="25" t="inlineStr">
        <is>
          <t>E-Commerce y Tiendas en Línea</t>
        </is>
      </c>
      <c r="C932" s="24" t="inlineStr">
        <is>
          <t>Desarrollo Web y E-Commerce</t>
        </is>
      </c>
      <c r="D932" s="25" t="inlineStr">
        <is>
          <t>Desarrollo De E-Commerce</t>
        </is>
      </c>
      <c r="E932" s="26" t="n">
        <v>5500</v>
      </c>
      <c r="F932" s="27">
        <f>E932/Config!$B$1</f>
        <v/>
      </c>
      <c r="G932" s="24" t="inlineStr">
        <is>
          <t>Real</t>
        </is>
      </c>
    </row>
    <row r="933" ht="15" customHeight="1" s="19">
      <c r="A933" s="24" t="n">
        <v>7898</v>
      </c>
      <c r="B933" s="25" t="inlineStr">
        <is>
          <t>E-Commerce y Tiendas en Línea</t>
        </is>
      </c>
      <c r="C933" s="24" t="inlineStr">
        <is>
          <t>Desarrollo Web y E-Commerce</t>
        </is>
      </c>
      <c r="D933" s="25" t="inlineStr">
        <is>
          <t>Desarrollo De E-Commerce</t>
        </is>
      </c>
      <c r="E933" s="26" t="n">
        <v>3000</v>
      </c>
      <c r="F933" s="27">
        <f>E933/Config!$B$1</f>
        <v/>
      </c>
      <c r="G933" s="28" t="inlineStr">
        <is>
          <t>Estimado (mediana de categoría)</t>
        </is>
      </c>
    </row>
    <row r="934" ht="15" customHeight="1" s="19">
      <c r="A934" s="24" t="n">
        <v>5883</v>
      </c>
      <c r="B934" s="25" t="inlineStr">
        <is>
          <t>E-commerce Setup</t>
        </is>
      </c>
      <c r="C934" s="24" t="inlineStr">
        <is>
          <t>Desarrollo Web y E-Commerce</t>
        </is>
      </c>
      <c r="D934" s="25" t="inlineStr">
        <is>
          <t>Configuración De E-Commerce</t>
        </is>
      </c>
      <c r="E934" s="26" t="n">
        <v>3000</v>
      </c>
      <c r="F934" s="27">
        <f>E934/Config!$B$1</f>
        <v/>
      </c>
      <c r="G934" s="24" t="inlineStr">
        <is>
          <t>Real</t>
        </is>
      </c>
    </row>
    <row r="935" ht="15" customHeight="1" s="19">
      <c r="A935" s="24" t="n">
        <v>7665</v>
      </c>
      <c r="B935" s="25" t="inlineStr">
        <is>
          <t>E-commerce Setup</t>
        </is>
      </c>
      <c r="C935" s="24" t="inlineStr">
        <is>
          <t>Desarrollo Web y E-Commerce</t>
        </is>
      </c>
      <c r="D935" s="25" t="inlineStr">
        <is>
          <t>Configuración De E-Commerce</t>
        </is>
      </c>
      <c r="E935" s="26" t="n">
        <v>3000</v>
      </c>
      <c r="F935" s="27">
        <f>E935/Config!$B$1</f>
        <v/>
      </c>
      <c r="G935" s="28" t="inlineStr">
        <is>
          <t>Estimado (mediana de categoría)</t>
        </is>
      </c>
    </row>
    <row r="936" ht="57" customHeight="1" s="19">
      <c r="A936" s="24" t="n">
        <v>6530</v>
      </c>
      <c r="B936" s="25" t="inlineStr">
        <is>
          <t>Estrategia de Ecommerce: Maximiza tus ventas y rentabilidad online</t>
        </is>
      </c>
      <c r="C936" s="24" t="inlineStr">
        <is>
          <t>Desarrollo Web y E-Commerce</t>
        </is>
      </c>
      <c r="D936" s="25" t="inlineStr">
        <is>
          <t>Servicio de consultoría en estrategia de ecommerce que guía a las empresas hacia el éxito en línea, brindando análisis de mercado, planificación estratégica, optimización de sitios web, marketing digital y gestión de operaciones.</t>
        </is>
      </c>
      <c r="E936" s="26" t="n">
        <v>2000</v>
      </c>
      <c r="F936" s="27">
        <f>E936/Config!$B$1</f>
        <v/>
      </c>
      <c r="G936" s="24" t="inlineStr">
        <is>
          <t>Real</t>
        </is>
      </c>
    </row>
    <row r="937" ht="34.5" customHeight="1" s="19">
      <c r="A937" s="24" t="n">
        <v>8344</v>
      </c>
      <c r="B937" s="25" t="inlineStr">
        <is>
          <t>Gestión Integral de Inventario y Logística: Automatiza tu E-commerce para el Éxito</t>
        </is>
      </c>
      <c r="C937" s="24" t="inlineStr">
        <is>
          <t>Desarrollo Web y E-Commerce</t>
        </is>
      </c>
      <c r="D937" s="25" t="inlineStr">
        <is>
          <t>Gestión integral de inventario y logística para e-commerce. Optimiza tus operaciones, mejora la experiencia del cliente y logra el éxito a largo plazo.</t>
        </is>
      </c>
      <c r="E937" s="26" t="n">
        <v>3000</v>
      </c>
      <c r="F937" s="27">
        <f>E937/Config!$B$1</f>
        <v/>
      </c>
      <c r="G937" s="28" t="inlineStr">
        <is>
          <t>Estimado (mediana de categoría)</t>
        </is>
      </c>
    </row>
    <row r="938" ht="45.75" customHeight="1" s="19">
      <c r="A938" s="24" t="n">
        <v>6643</v>
      </c>
      <c r="B938" s="25" t="inlineStr">
        <is>
          <t>Gestión Integral de Inventario y Logística: Automatiza tu Ecommerce</t>
        </is>
      </c>
      <c r="C938" s="24" t="inlineStr">
        <is>
          <t>Desarrollo Web y E-Commerce</t>
        </is>
      </c>
      <c r="D938" s="25" t="inlineStr">
        <is>
          <t>Gestión integral del inventario y logística para e-commerce. Optimiza tus operaciones, mejora la experiencia del cliente y logra un crecimiento sostenible.</t>
        </is>
      </c>
      <c r="E938" s="26" t="n">
        <v>800</v>
      </c>
      <c r="F938" s="27">
        <f>E938/Config!$B$1</f>
        <v/>
      </c>
      <c r="G938" s="24" t="inlineStr">
        <is>
          <t>Real</t>
        </is>
      </c>
    </row>
    <row r="939" ht="15" customHeight="1" s="19">
      <c r="A939" s="24" t="n">
        <v>6110</v>
      </c>
      <c r="B939" s="25" t="inlineStr">
        <is>
          <t>Gestión de Contenidos Web</t>
        </is>
      </c>
      <c r="C939" s="24" t="inlineStr">
        <is>
          <t>Desarrollo Web y E-Commerce</t>
        </is>
      </c>
      <c r="D939" s="25" t="inlineStr">
        <is>
          <t>Gestión De Contenidos Web</t>
        </is>
      </c>
      <c r="E939" s="26" t="n">
        <v>3800</v>
      </c>
      <c r="F939" s="27">
        <f>E939/Config!$B$1</f>
        <v/>
      </c>
      <c r="G939" s="24" t="inlineStr">
        <is>
          <t>Real</t>
        </is>
      </c>
    </row>
    <row r="940" ht="15" customHeight="1" s="19">
      <c r="A940" s="24" t="n">
        <v>7834</v>
      </c>
      <c r="B940" s="25" t="inlineStr">
        <is>
          <t>Gestión de Contenidos Web</t>
        </is>
      </c>
      <c r="C940" s="24" t="inlineStr">
        <is>
          <t>Desarrollo Web y E-Commerce</t>
        </is>
      </c>
      <c r="D940" s="25" t="inlineStr">
        <is>
          <t>Gestión De Contenidos Web</t>
        </is>
      </c>
      <c r="E940" s="26" t="n">
        <v>3000</v>
      </c>
      <c r="F940" s="27">
        <f>E940/Config!$B$1</f>
        <v/>
      </c>
      <c r="G940" s="28" t="inlineStr">
        <is>
          <t>Estimado (mediana de categoría)</t>
        </is>
      </c>
    </row>
    <row r="941" ht="23.25" customHeight="1" s="19">
      <c r="A941" s="24" t="n">
        <v>6658</v>
      </c>
      <c r="B941" s="25" t="inlineStr">
        <is>
          <t>Gestión de Inventario Ecommerce: Control y Sincronización para tu Tienda Online</t>
        </is>
      </c>
      <c r="C941" s="24" t="inlineStr">
        <is>
          <t>Desarrollo Web y E-Commerce</t>
        </is>
      </c>
      <c r="D941" s="25" t="inlineStr">
        <is>
          <t>Gestión de Inventario Ecommerce: Control y gestión de tus productos en el comercio electrónico.</t>
        </is>
      </c>
      <c r="E941" s="26" t="n">
        <v>1200</v>
      </c>
      <c r="F941" s="27">
        <f>E941/Config!$B$1</f>
        <v/>
      </c>
      <c r="G941" s="24" t="inlineStr">
        <is>
          <t>Real</t>
        </is>
      </c>
    </row>
    <row r="942" ht="23.25" customHeight="1" s="19">
      <c r="A942" s="24" t="n">
        <v>8359</v>
      </c>
      <c r="B942" s="25" t="inlineStr">
        <is>
          <t>Gestión de Inventario Ecommerce: Control y Sincronización para tu Tienda Online</t>
        </is>
      </c>
      <c r="C942" s="24" t="inlineStr">
        <is>
          <t>Desarrollo Web y E-Commerce</t>
        </is>
      </c>
      <c r="D942" s="25" t="inlineStr">
        <is>
          <t>Gestión de Inventario Ecommerce: Control y Sincronización para tu Tienda Online</t>
        </is>
      </c>
      <c r="E942" s="26" t="n">
        <v>3000</v>
      </c>
      <c r="F942" s="27">
        <f>E942/Config!$B$1</f>
        <v/>
      </c>
      <c r="G942" s="28" t="inlineStr">
        <is>
          <t>Estimado (mediana de categoría)</t>
        </is>
      </c>
    </row>
    <row r="943" ht="45.75" customHeight="1" s="19">
      <c r="A943" s="24" t="n">
        <v>8400</v>
      </c>
      <c r="B943" s="25" t="inlineStr">
        <is>
          <t>Gestión de Inventario Eficiente para Ecommerce: Sincronización, Automatización y Control</t>
        </is>
      </c>
      <c r="C943" s="24" t="inlineStr">
        <is>
          <t>Desarrollo Web y E-Commerce</t>
        </is>
      </c>
      <c r="D943" s="25" t="inlineStr">
        <is>
          <t>Gestión eficiente de inventario para e-commerce: sincronización, automatización y control. Optimiza tu cadena de suministro, reduce costos y mejora la satisfacción del cliente.</t>
        </is>
      </c>
      <c r="E943" s="26" t="n">
        <v>3000</v>
      </c>
      <c r="F943" s="27">
        <f>E943/Config!$B$1</f>
        <v/>
      </c>
      <c r="G943" s="28" t="inlineStr">
        <is>
          <t>Estimado (mediana de categoría)</t>
        </is>
      </c>
    </row>
    <row r="944" ht="15" customHeight="1" s="19">
      <c r="A944" s="24" t="n">
        <v>7676</v>
      </c>
      <c r="B944" s="25" t="inlineStr">
        <is>
          <t>Graphic Design Services</t>
        </is>
      </c>
      <c r="C944" s="24" t="inlineStr">
        <is>
          <t>Desarrollo Web y E-Commerce</t>
        </is>
      </c>
      <c r="D944" s="25" t="inlineStr">
        <is>
          <t>Diseño Gráfico Personalizado</t>
        </is>
      </c>
      <c r="E944" s="26" t="n">
        <v>3000</v>
      </c>
      <c r="F944" s="27">
        <f>E944/Config!$B$1</f>
        <v/>
      </c>
      <c r="G944" s="28" t="inlineStr">
        <is>
          <t>Estimado (mediana de categoría)</t>
        </is>
      </c>
    </row>
    <row r="945" ht="57" customHeight="1" s="19">
      <c r="A945" s="24" t="n">
        <v>7465</v>
      </c>
      <c r="B945" s="25" t="inlineStr">
        <is>
          <t>Hasta 5 páginas: ¡Crea sitios web impresionantes con facilidad!</t>
        </is>
      </c>
      <c r="C945" s="24" t="inlineStr">
        <is>
          <t>Desarrollo Web y E-Commerce</t>
        </is>
      </c>
      <c r="D945" s="25" t="inlineStr">
        <is>
          <t>&lt;strong&gt;Hasta 5 páginas&lt;/strong&gt;&lt;br&gt;&lt;br&gt;Plataforma de creación de contenido que permite crear y compartir documentos de hasta 5 páginas. Interfaz intuitiva, diseño elegante y compatible con múltiples dispositivos.</t>
        </is>
      </c>
      <c r="E945" s="26" t="n">
        <v>50</v>
      </c>
      <c r="F945" s="27">
        <f>E945/Config!$B$1</f>
        <v/>
      </c>
      <c r="G945" s="24" t="inlineStr">
        <is>
          <t>Real</t>
        </is>
      </c>
    </row>
    <row r="946" ht="15" customHeight="1" s="19">
      <c r="A946" s="24" t="n">
        <v>6259</v>
      </c>
      <c r="B946" s="25" t="inlineStr">
        <is>
          <t>Implementacion Sitio Web Institucional</t>
        </is>
      </c>
      <c r="C946" s="24" t="inlineStr">
        <is>
          <t>Desarrollo Web y E-Commerce</t>
        </is>
      </c>
      <c r="D946" s="25" t="inlineStr">
        <is>
          <t>Implementación De Sitio Web Institucional</t>
        </is>
      </c>
      <c r="E946" s="26" t="n">
        <v>3000</v>
      </c>
      <c r="F946" s="27">
        <f>E946/Config!$B$1</f>
        <v/>
      </c>
      <c r="G946" s="28" t="inlineStr">
        <is>
          <t>Estimado (mediana de categoría)</t>
        </is>
      </c>
    </row>
    <row r="947" ht="15" customHeight="1" s="19">
      <c r="A947" s="24" t="n">
        <v>6260</v>
      </c>
      <c r="B947" s="25" t="inlineStr">
        <is>
          <t>Implementacion Tienda Online Basico</t>
        </is>
      </c>
      <c r="C947" s="24" t="inlineStr">
        <is>
          <t>Desarrollo Web y E-Commerce</t>
        </is>
      </c>
      <c r="D947" s="25" t="inlineStr">
        <is>
          <t>Implementación De Tienda Online Básica</t>
        </is>
      </c>
      <c r="E947" s="26" t="n">
        <v>799</v>
      </c>
      <c r="F947" s="27">
        <f>E947/Config!$B$1</f>
        <v/>
      </c>
      <c r="G947" s="24" t="inlineStr">
        <is>
          <t>Real</t>
        </is>
      </c>
    </row>
    <row r="948" ht="15" customHeight="1" s="19">
      <c r="A948" s="24" t="n">
        <v>7983</v>
      </c>
      <c r="B948" s="25" t="inlineStr">
        <is>
          <t>Implementacion Tienda Online Basico</t>
        </is>
      </c>
      <c r="C948" s="24" t="inlineStr">
        <is>
          <t>Desarrollo Web y E-Commerce</t>
        </is>
      </c>
      <c r="D948" s="25" t="inlineStr">
        <is>
          <t>Implementación De Tienda Online Básica</t>
        </is>
      </c>
      <c r="E948" s="26" t="n">
        <v>3000</v>
      </c>
      <c r="F948" s="27">
        <f>E948/Config!$B$1</f>
        <v/>
      </c>
      <c r="G948" s="28" t="inlineStr">
        <is>
          <t>Estimado (mediana de categoría)</t>
        </is>
      </c>
    </row>
    <row r="949" ht="15" customHeight="1" s="19">
      <c r="A949" s="24" t="n">
        <v>6278</v>
      </c>
      <c r="B949" s="25" t="inlineStr">
        <is>
          <t>Implementacion Tienda Online Marketplace</t>
        </is>
      </c>
      <c r="C949" s="24" t="inlineStr">
        <is>
          <t>Desarrollo Web y E-Commerce</t>
        </is>
      </c>
      <c r="D949" s="25" t="inlineStr">
        <is>
          <t>Implementación Tienda Online Marketplace</t>
        </is>
      </c>
      <c r="E949" s="26" t="n">
        <v>1799</v>
      </c>
      <c r="F949" s="27">
        <f>E949/Config!$B$1</f>
        <v/>
      </c>
      <c r="G949" s="24" t="inlineStr">
        <is>
          <t>Real</t>
        </is>
      </c>
    </row>
    <row r="950" ht="15" customHeight="1" s="19">
      <c r="A950" s="24" t="n">
        <v>7991</v>
      </c>
      <c r="B950" s="25" t="inlineStr">
        <is>
          <t>Implementacion Tienda Online Marketplace</t>
        </is>
      </c>
      <c r="C950" s="24" t="inlineStr">
        <is>
          <t>Desarrollo Web y E-Commerce</t>
        </is>
      </c>
      <c r="D950" s="25" t="inlineStr">
        <is>
          <t>Implementación Tienda Online Marketplace</t>
        </is>
      </c>
      <c r="E950" s="26" t="n">
        <v>3000</v>
      </c>
      <c r="F950" s="27">
        <f>E950/Config!$B$1</f>
        <v/>
      </c>
      <c r="G950" s="28" t="inlineStr">
        <is>
          <t>Estimado (mediana de categoría)</t>
        </is>
      </c>
    </row>
    <row r="951" ht="15" customHeight="1" s="19">
      <c r="A951" s="24" t="n">
        <v>6262</v>
      </c>
      <c r="B951" s="25" t="inlineStr">
        <is>
          <t>Implementacion Tienda Online Mayorista</t>
        </is>
      </c>
      <c r="C951" s="24" t="inlineStr">
        <is>
          <t>Desarrollo Web y E-Commerce</t>
        </is>
      </c>
      <c r="D951" s="25" t="inlineStr">
        <is>
          <t>Implementación De Tienda Online Mayorista</t>
        </is>
      </c>
      <c r="E951" s="26" t="n">
        <v>1499</v>
      </c>
      <c r="F951" s="27">
        <f>E951/Config!$B$1</f>
        <v/>
      </c>
      <c r="G951" s="24" t="inlineStr">
        <is>
          <t>Real</t>
        </is>
      </c>
    </row>
    <row r="952" ht="15" customHeight="1" s="19">
      <c r="A952" s="24" t="n">
        <v>7985</v>
      </c>
      <c r="B952" s="25" t="inlineStr">
        <is>
          <t>Implementacion Tienda Online Mayorista</t>
        </is>
      </c>
      <c r="C952" s="24" t="inlineStr">
        <is>
          <t>Desarrollo Web y E-Commerce</t>
        </is>
      </c>
      <c r="D952" s="25" t="inlineStr">
        <is>
          <t>Implementación De Tienda Online Mayorista</t>
        </is>
      </c>
      <c r="E952" s="26" t="n">
        <v>3000</v>
      </c>
      <c r="F952" s="27">
        <f>E952/Config!$B$1</f>
        <v/>
      </c>
      <c r="G952" s="28" t="inlineStr">
        <is>
          <t>Estimado (mediana de categoría)</t>
        </is>
      </c>
    </row>
    <row r="953" ht="15" customHeight="1" s="19">
      <c r="A953" s="24" t="n">
        <v>6261</v>
      </c>
      <c r="B953" s="25" t="inlineStr">
        <is>
          <t>Implementacion Tienda Online Minorista</t>
        </is>
      </c>
      <c r="C953" s="24" t="inlineStr">
        <is>
          <t>Desarrollo Web y E-Commerce</t>
        </is>
      </c>
      <c r="D953" s="25" t="inlineStr">
        <is>
          <t>Implementación De Tienda Online Minorista</t>
        </is>
      </c>
      <c r="E953" s="26" t="n">
        <v>1099</v>
      </c>
      <c r="F953" s="27">
        <f>E953/Config!$B$1</f>
        <v/>
      </c>
      <c r="G953" s="24" t="inlineStr">
        <is>
          <t>Real</t>
        </is>
      </c>
    </row>
    <row r="954" ht="15" customHeight="1" s="19">
      <c r="A954" s="24" t="n">
        <v>7984</v>
      </c>
      <c r="B954" s="25" t="inlineStr">
        <is>
          <t>Implementacion Tienda Online Minorista</t>
        </is>
      </c>
      <c r="C954" s="24" t="inlineStr">
        <is>
          <t>Desarrollo Web y E-Commerce</t>
        </is>
      </c>
      <c r="D954" s="25" t="inlineStr">
        <is>
          <t>Implementación De Tienda Online Minorista</t>
        </is>
      </c>
      <c r="E954" s="26" t="n">
        <v>3000</v>
      </c>
      <c r="F954" s="27">
        <f>E954/Config!$B$1</f>
        <v/>
      </c>
      <c r="G954" s="28" t="inlineStr">
        <is>
          <t>Estimado (mediana de categoría)</t>
        </is>
      </c>
    </row>
    <row r="955" ht="23.25" customHeight="1" s="19">
      <c r="A955" s="24" t="n">
        <v>8280</v>
      </c>
      <c r="B955" s="25" t="inlineStr">
        <is>
          <t>Implementación de Herramientas de Analítica y Optimización para Ecommerce: Mejora tu Conversión</t>
        </is>
      </c>
      <c r="C955" s="24" t="inlineStr">
        <is>
          <t>Desarrollo Web y E-Commerce</t>
        </is>
      </c>
      <c r="D955" s="25" t="inlineStr">
        <is>
          <t>Implementación de Herramientas de Analítica y Optimización para Ecommerce: Mejora tu Conversión</t>
        </is>
      </c>
      <c r="E955" s="26" t="n">
        <v>3000</v>
      </c>
      <c r="F955" s="27">
        <f>E955/Config!$B$1</f>
        <v/>
      </c>
      <c r="G955" s="28" t="inlineStr">
        <is>
          <t>Estimado (mediana de categoría)</t>
        </is>
      </c>
    </row>
    <row r="956" ht="34.5" customHeight="1" s="19">
      <c r="A956" s="24" t="n">
        <v>8375</v>
      </c>
      <c r="B956" s="25" t="inlineStr">
        <is>
          <t>Implementación de Marketplace Ecommerce: Integración y Configuración para Potenciar tus Ventas</t>
        </is>
      </c>
      <c r="C956" s="24" t="inlineStr">
        <is>
          <t>Desarrollo Web y E-Commerce</t>
        </is>
      </c>
      <c r="D956" s="25" t="inlineStr">
        <is>
          <t>Servicios de implementación de Marketplace para Ecommerce: Integración y configuración para aumentar las ventas.</t>
        </is>
      </c>
      <c r="E956" s="26" t="n">
        <v>3000</v>
      </c>
      <c r="F956" s="27">
        <f>E956/Config!$B$1</f>
        <v/>
      </c>
      <c r="G956" s="28" t="inlineStr">
        <is>
          <t>Estimado (mediana de categoría)</t>
        </is>
      </c>
    </row>
    <row r="957" ht="23.25" customHeight="1" s="19">
      <c r="A957" s="24" t="n">
        <v>6674</v>
      </c>
      <c r="B957" s="25" t="inlineStr">
        <is>
          <t>Implementación de Marketplace Ecommerce: Integración y Configuración para Vender Más</t>
        </is>
      </c>
      <c r="C957" s="24" t="inlineStr">
        <is>
          <t>Desarrollo Web y E-Commerce</t>
        </is>
      </c>
      <c r="D957" s="25" t="inlineStr">
        <is>
          <t>Servicios de implementación de Marketplace para Ecommerce</t>
        </is>
      </c>
      <c r="E957" s="26" t="n">
        <v>2000</v>
      </c>
      <c r="F957" s="27">
        <f>E957/Config!$B$1</f>
        <v/>
      </c>
      <c r="G957" s="24" t="inlineStr">
        <is>
          <t>Real</t>
        </is>
      </c>
    </row>
    <row r="958" ht="45.75" customHeight="1" s="19">
      <c r="A958" s="24" t="n">
        <v>7528</v>
      </c>
      <c r="B958" s="25" t="inlineStr">
        <is>
          <t>Implementación de Módulos Adicionales: Mejora tu Sitio Web con Funcionalidades Esenciales</t>
        </is>
      </c>
      <c r="C958" s="24" t="inlineStr">
        <is>
          <t>Desarrollo Web y E-Commerce</t>
        </is>
      </c>
      <c r="D958" s="25" t="inlineStr">
        <is>
          <t>Implementación de Módulos Adicionales: Solución integral para optimizar operaciones, integrando funcionalidades, automatizando procesos y personalizando para necesidades específicas.</t>
        </is>
      </c>
      <c r="E958" s="26" t="n">
        <v>700</v>
      </c>
      <c r="F958" s="27">
        <f>E958/Config!$B$1</f>
        <v/>
      </c>
      <c r="G958" s="24" t="inlineStr">
        <is>
          <t>Real</t>
        </is>
      </c>
    </row>
    <row r="959" ht="34.5" customHeight="1" s="19">
      <c r="A959" s="24" t="n">
        <v>6676</v>
      </c>
      <c r="B959" s="25" t="inlineStr">
        <is>
          <t>Implementación de Realidad Aumentada para Ecommerce: Visualiza, Prueba y Experimenta Antes de Comprar</t>
        </is>
      </c>
      <c r="C959" s="24" t="inlineStr">
        <is>
          <t>Desarrollo Web y E-Commerce</t>
        </is>
      </c>
      <c r="D959" s="25" t="inlineStr">
        <is>
          <t>Servicios de implementación de realidad aumentada para ecommerce</t>
        </is>
      </c>
      <c r="E959" s="26" t="n">
        <v>1500</v>
      </c>
      <c r="F959" s="27">
        <f>E959/Config!$B$1</f>
        <v/>
      </c>
      <c r="G959" s="24" t="inlineStr">
        <is>
          <t>Real</t>
        </is>
      </c>
    </row>
    <row r="960" ht="34.5" customHeight="1" s="19">
      <c r="A960" s="24" t="n">
        <v>8377</v>
      </c>
      <c r="B960" s="25" t="inlineStr">
        <is>
          <t>Implementación de Realidad Aumentada para Ecommerce: Visualizá, Probá y Experimentá Antes de Comprar</t>
        </is>
      </c>
      <c r="C960" s="24" t="inlineStr">
        <is>
          <t>Desarrollo Web y E-Commerce</t>
        </is>
      </c>
      <c r="D960" s="25" t="inlineStr">
        <is>
          <t>Implementación de Realidad Aumentada para Ecommerce: Visualizá, probá y experimentá antes de comprar.</t>
        </is>
      </c>
      <c r="E960" s="26" t="n">
        <v>3000</v>
      </c>
      <c r="F960" s="27">
        <f>E960/Config!$B$1</f>
        <v/>
      </c>
      <c r="G960" s="28" t="inlineStr">
        <is>
          <t>Estimado (mediana de categoría)</t>
        </is>
      </c>
    </row>
    <row r="961" ht="34.5" customHeight="1" s="19">
      <c r="A961" s="24" t="n">
        <v>8284</v>
      </c>
      <c r="B961" s="25" t="inlineStr">
        <is>
          <t>Implementación de Sistema de Recomendaciones Personalizadas para Ecommerce: Mejora la Experiencia y Aumenta las Ventas</t>
        </is>
      </c>
      <c r="C961" s="24" t="inlineStr">
        <is>
          <t>Desarrollo Web y E-Commerce</t>
        </is>
      </c>
      <c r="D961" s="25" t="inlineStr">
        <is>
          <t>Implementación de Sistema de Recomendaciones Personalizadas para Ecommerce: Mejora la Experiencia de Compra y Aumenta las Ventas</t>
        </is>
      </c>
      <c r="E961" s="26" t="n">
        <v>3000</v>
      </c>
      <c r="F961" s="27">
        <f>E961/Config!$B$1</f>
        <v/>
      </c>
      <c r="G961" s="28" t="inlineStr">
        <is>
          <t>Estimado (mediana de categoría)</t>
        </is>
      </c>
    </row>
    <row r="962" ht="45.75" customHeight="1" s="19">
      <c r="A962" s="24" t="n">
        <v>7611</v>
      </c>
      <c r="B962" s="25" t="inlineStr">
        <is>
          <t>Implementación de Sistemas de Pago Online: Potenciá tu Negocio con Soluciones Integrales</t>
        </is>
      </c>
      <c r="C962" s="24" t="inlineStr">
        <is>
          <t>Desarrollo Web y E-Commerce</t>
        </is>
      </c>
      <c r="D962" s="25" t="inlineStr">
        <is>
          <t>Sistemas de Pago en Línea: Solución integral para negocios modernos, integrando múltiples opciones de pago, gestión de suscripciones y reportes detallados para mayor comodidad, eficiencia y seguridad.</t>
        </is>
      </c>
      <c r="E962" s="26" t="n">
        <v>720</v>
      </c>
      <c r="F962" s="27">
        <f>E962/Config!$B$1</f>
        <v/>
      </c>
      <c r="G962" s="24" t="inlineStr">
        <is>
          <t>Real</t>
        </is>
      </c>
    </row>
    <row r="963" ht="57" customHeight="1" s="19">
      <c r="A963" s="24" t="n">
        <v>8297</v>
      </c>
      <c r="B963" s="25" t="inlineStr">
        <is>
          <t>Implementación de Solución de Pagos: Integración Segura y Optimizada para tu E-commerce</t>
        </is>
      </c>
      <c r="C963" s="24" t="inlineStr">
        <is>
          <t>Desarrollo Web y E-Commerce</t>
        </is>
      </c>
      <c r="D963" s="25" t="inlineStr">
        <is>
          <t>Servicio de Implementación de Solución de Pagos para E-commerce: Integración rápida y eficiente de pasarelas de pago, configuración personalizada, soporte técnico experto, seguridad mejorada, análisis y optimización.</t>
        </is>
      </c>
      <c r="E963" s="26" t="n">
        <v>3000</v>
      </c>
      <c r="F963" s="27">
        <f>E963/Config!$B$1</f>
        <v/>
      </c>
      <c r="G963" s="28" t="inlineStr">
        <is>
          <t>Estimado (mediana de categoría)</t>
        </is>
      </c>
    </row>
    <row r="964" ht="15" customHeight="1" s="19">
      <c r="A964" s="24" t="n">
        <v>6774</v>
      </c>
      <c r="B964" s="25" t="inlineStr">
        <is>
          <t>Implementación de Suscripciones y Membresías</t>
        </is>
      </c>
      <c r="C964" s="24" t="inlineStr">
        <is>
          <t>Desarrollo Web y E-Commerce</t>
        </is>
      </c>
      <c r="D964" s="25" t="inlineStr">
        <is>
          <t>Suscripciones Y Membresías</t>
        </is>
      </c>
      <c r="E964" s="26" t="n">
        <v>3400</v>
      </c>
      <c r="F964" s="27">
        <f>E964/Config!$B$1</f>
        <v/>
      </c>
      <c r="G964" s="24" t="inlineStr">
        <is>
          <t>Real</t>
        </is>
      </c>
    </row>
    <row r="965" ht="23.25" customHeight="1" s="19">
      <c r="A965" s="24" t="n">
        <v>7571</v>
      </c>
      <c r="B965" s="25" t="inlineStr">
        <is>
          <t>Implementación de Tienda Online Minorista: ¡Crea tu Presencia Digital Hoy!</t>
        </is>
      </c>
      <c r="C965" s="24" t="inlineStr">
        <is>
          <t>Desarrollo Web y E-Commerce</t>
        </is>
      </c>
      <c r="D965" s="25" t="inlineStr">
        <is>
          <t>Implementación de Tienda Online Minorista: ¡Creá tu presencia digital hoy!</t>
        </is>
      </c>
      <c r="E965" s="26" t="n">
        <v>700</v>
      </c>
      <c r="F965" s="27">
        <f>E965/Config!$B$1</f>
        <v/>
      </c>
      <c r="G965" s="24" t="inlineStr">
        <is>
          <t>Real</t>
        </is>
      </c>
    </row>
    <row r="966" ht="23.25" customHeight="1" s="19">
      <c r="A966" s="24" t="n">
        <v>6540</v>
      </c>
      <c r="B966" s="25" t="inlineStr">
        <is>
          <t>Implementación de Tienda Online: Tu Solución Ecommerce Completa</t>
        </is>
      </c>
      <c r="C966" s="24" t="inlineStr">
        <is>
          <t>Desarrollo Web y E-Commerce</t>
        </is>
      </c>
      <c r="D966" s="25" t="inlineStr">
        <is>
          <t>Servicio de implementación de tienda online desde cero.</t>
        </is>
      </c>
      <c r="E966" s="26" t="n">
        <v>3000</v>
      </c>
      <c r="F966" s="27">
        <f>E966/Config!$B$1</f>
        <v/>
      </c>
      <c r="G966" s="24" t="inlineStr">
        <is>
          <t>Real</t>
        </is>
      </c>
    </row>
    <row r="967" ht="79.5" customHeight="1" s="19">
      <c r="A967" s="24" t="n">
        <v>8242</v>
      </c>
      <c r="B967" s="25" t="inlineStr">
        <is>
          <t>Implementación de Tienda Online: Tu Solución Ecommerce Completa para Crecer y Triunfar</t>
        </is>
      </c>
      <c r="C967" s="24" t="inlineStr">
        <is>
          <t>Desarrollo Web y E-Commerce</t>
        </is>
      </c>
      <c r="D967" s="25" t="inlineStr">
        <is>
          <t>Implementación de Tienda Online: Tu solución de e-commerce completa. Creamos tu tienda online desde cero, con diseño personalizado, integración de pasarelas de pago, gestión de inventario y herramientas de marketing. Aumenta tus ventas, mejora la experiencia del cliente, reduce costos y gana ventaja competitiva.</t>
        </is>
      </c>
      <c r="E967" s="26" t="n">
        <v>3000</v>
      </c>
      <c r="F967" s="27">
        <f>E967/Config!$B$1</f>
        <v/>
      </c>
      <c r="G967" s="28" t="inlineStr">
        <is>
          <t>Estimado (mediana de categoría)</t>
        </is>
      </c>
    </row>
    <row r="968" ht="15" customHeight="1" s="19">
      <c r="A968" s="24" t="n">
        <v>6775</v>
      </c>
      <c r="B968" s="25" t="inlineStr">
        <is>
          <t>Implementación de Tiendas Virtuales Básicas</t>
        </is>
      </c>
      <c r="C968" s="24" t="inlineStr">
        <is>
          <t>Desarrollo Web y E-Commerce</t>
        </is>
      </c>
      <c r="D968" s="25" t="inlineStr">
        <is>
          <t>Tienda Virtual Básica</t>
        </is>
      </c>
      <c r="E968" s="26" t="n">
        <v>1400</v>
      </c>
      <c r="F968" s="27">
        <f>E968/Config!$B$1</f>
        <v/>
      </c>
      <c r="G968" s="24" t="inlineStr">
        <is>
          <t>Real</t>
        </is>
      </c>
    </row>
    <row r="969" ht="23.25" customHeight="1" s="19">
      <c r="A969" s="24" t="n">
        <v>7602</v>
      </c>
      <c r="B969" s="25" t="inlineStr">
        <is>
          <t>Implementación de soluciones de e-commerce: Optimiza tu negocio online</t>
        </is>
      </c>
      <c r="C969" s="24" t="inlineStr">
        <is>
          <t>Desarrollo Web y E-Commerce</t>
        </is>
      </c>
      <c r="D969" s="25" t="inlineStr">
        <is>
          <t>Implementación de soluciones de comercio electrónico: el camino al éxito online</t>
        </is>
      </c>
      <c r="E969" s="26" t="n">
        <v>1350</v>
      </c>
      <c r="F969" s="27">
        <f>E969/Config!$B$1</f>
        <v/>
      </c>
      <c r="G969" s="24" t="inlineStr">
        <is>
          <t>Real</t>
        </is>
      </c>
    </row>
    <row r="970" ht="15" customHeight="1" s="19">
      <c r="A970" s="24" t="n">
        <v>6924</v>
      </c>
      <c r="B970" s="25" t="inlineStr">
        <is>
          <t>Implementación de tienda virtual</t>
        </is>
      </c>
      <c r="C970" s="24" t="inlineStr">
        <is>
          <t>Desarrollo Web y E-Commerce</t>
        </is>
      </c>
      <c r="D970" s="25" t="inlineStr">
        <is>
          <t>Tienda Virtual Ecommerce</t>
        </is>
      </c>
      <c r="E970" s="26" t="n">
        <v>1400</v>
      </c>
      <c r="F970" s="27">
        <f>E970/Config!$B$1</f>
        <v/>
      </c>
      <c r="G970" s="24" t="inlineStr">
        <is>
          <t>Real</t>
        </is>
      </c>
    </row>
    <row r="971" ht="23.25" customHeight="1" s="19">
      <c r="A971" s="24" t="n">
        <v>8293</v>
      </c>
      <c r="B971" s="25" t="inlineStr">
        <is>
          <t>Integra tu tienda online con Marketplaces: ¡Expande tu alcance y potencia tus ventas!</t>
        </is>
      </c>
      <c r="C971" s="24" t="inlineStr">
        <is>
          <t>Desarrollo Web y E-Commerce</t>
        </is>
      </c>
      <c r="D971" s="25" t="inlineStr">
        <is>
          <t>¡Integra tu tienda online con Marketplaces! Expande tu alcance, potencia tus ventas y llega a más clientes.</t>
        </is>
      </c>
      <c r="E971" s="26" t="n">
        <v>3000</v>
      </c>
      <c r="F971" s="27">
        <f>E971/Config!$B$1</f>
        <v/>
      </c>
      <c r="G971" s="28" t="inlineStr">
        <is>
          <t>Estimado (mediana de categoría)</t>
        </is>
      </c>
    </row>
    <row r="972" ht="57" customHeight="1" s="19">
      <c r="A972" s="24" t="n">
        <v>7481</v>
      </c>
      <c r="B972" s="25" t="inlineStr">
        <is>
          <t>Integración Avanzada de E-Commerce: Conecta tu Tienda Online con Facilidad</t>
        </is>
      </c>
      <c r="C972" s="24" t="inlineStr">
        <is>
          <t>Desarrollo Web y E-Commerce</t>
        </is>
      </c>
      <c r="D972" s="25" t="inlineStr">
        <is>
          <t>Integración Avanzada de E-Commerce: La clave para el éxito en el comercio electrónico. Conecta canales de venta, automatiza procesos y brinda información valiosa para mejorar la experiencia del cliente, optimizar la eficiencia y aumentar la rentabilidad.</t>
        </is>
      </c>
      <c r="E972" s="26" t="n">
        <v>3000</v>
      </c>
      <c r="F972" s="27">
        <f>E972/Config!$B$1</f>
        <v/>
      </c>
      <c r="G972" s="28" t="inlineStr">
        <is>
          <t>Estimado (mediana de categoría)</t>
        </is>
      </c>
    </row>
    <row r="973" ht="23.25" customHeight="1" s="19">
      <c r="A973" s="24" t="n">
        <v>7476</v>
      </c>
      <c r="B973" s="25" t="inlineStr">
        <is>
          <t>Integración Básica de E-Commerce: Conecta tu Tienda Online con Facilidad</t>
        </is>
      </c>
      <c r="C973" s="24" t="inlineStr">
        <is>
          <t>Desarrollo Web y E-Commerce</t>
        </is>
      </c>
      <c r="D973" s="25" t="inlineStr">
        <is>
          <t>Integración Básica de E-Commerce: La puerta de entrada a las ventas online</t>
        </is>
      </c>
      <c r="E973" s="26" t="n">
        <v>3000</v>
      </c>
      <c r="F973" s="27">
        <f>E973/Config!$B$1</f>
        <v/>
      </c>
      <c r="G973" s="28" t="inlineStr">
        <is>
          <t>Estimado (mediana de categoría)</t>
        </is>
      </c>
    </row>
    <row r="974" ht="23.25" customHeight="1" s="19">
      <c r="A974" s="24" t="n">
        <v>6686</v>
      </c>
      <c r="B974" s="25" t="inlineStr">
        <is>
          <t>Integración Multicanal para Ecommerce: Amplía tu Alcance y Optimiza tus Ventas</t>
        </is>
      </c>
      <c r="C974" s="24" t="inlineStr">
        <is>
          <t>Desarrollo Web y E-Commerce</t>
        </is>
      </c>
      <c r="D974" s="25" t="inlineStr">
        <is>
          <t>Servicios de Integración Multicanal para Ecommerce</t>
        </is>
      </c>
      <c r="E974" s="26" t="n">
        <v>2000</v>
      </c>
      <c r="F974" s="27">
        <f>E974/Config!$B$1</f>
        <v/>
      </c>
      <c r="G974" s="24" t="inlineStr">
        <is>
          <t>Real</t>
        </is>
      </c>
    </row>
    <row r="975" ht="57" customHeight="1" s="19">
      <c r="A975" s="24" t="n">
        <v>8387</v>
      </c>
      <c r="B975" s="25" t="inlineStr">
        <is>
          <t>Integración Multicanal para Ecommerce: Amplía tu Alcance, Optimiza Ventas</t>
        </is>
      </c>
      <c r="C975" s="24" t="inlineStr">
        <is>
          <t>Desarrollo Web y E-Commerce</t>
        </is>
      </c>
      <c r="D975" s="25" t="inlineStr">
        <is>
          <t>Integración Multicanal para Ecommerce: Amplía tu alcance y optimiza tus ventas. Conecta tus canales, centraliza el inventario, unifica el procesamiento de pedidos, rastrea a los clientes y obtén información valiosa.</t>
        </is>
      </c>
      <c r="E975" s="26" t="n">
        <v>3000</v>
      </c>
      <c r="F975" s="27">
        <f>E975/Config!$B$1</f>
        <v/>
      </c>
      <c r="G975" s="28" t="inlineStr">
        <is>
          <t>Estimado (mediana de categoría)</t>
        </is>
      </c>
    </row>
    <row r="976" ht="23.25" customHeight="1" s="19">
      <c r="A976" s="24" t="n">
        <v>6679</v>
      </c>
      <c r="B976" s="25" t="inlineStr">
        <is>
          <t>Integración Omnicanal para Ecommerce: Conecta tu tienda virtual con todos tus canales</t>
        </is>
      </c>
      <c r="C976" s="24" t="inlineStr">
        <is>
          <t>Desarrollo Web y E-Commerce</t>
        </is>
      </c>
      <c r="D976" s="25" t="inlineStr">
        <is>
          <t>Servicios de integración omnicanal para e-commerce</t>
        </is>
      </c>
      <c r="E976" s="26" t="n">
        <v>2000</v>
      </c>
      <c r="F976" s="27">
        <f>E976/Config!$B$1</f>
        <v/>
      </c>
      <c r="G976" s="24" t="inlineStr">
        <is>
          <t>Real</t>
        </is>
      </c>
    </row>
    <row r="977" ht="23.25" customHeight="1" s="19">
      <c r="A977" s="24" t="n">
        <v>8380</v>
      </c>
      <c r="B977" s="25" t="inlineStr">
        <is>
          <t>Integración Omnicanal para Ecommerce: Conecta tu tienda virtual con todos tus canales</t>
        </is>
      </c>
      <c r="C977" s="24" t="inlineStr">
        <is>
          <t>Desarrollo Web y E-Commerce</t>
        </is>
      </c>
      <c r="D977" s="25" t="inlineStr">
        <is>
          <t>Integración omnicanal para e-commerce: conecta tu tienda virtual con todos tus canales.</t>
        </is>
      </c>
      <c r="E977" s="26" t="n">
        <v>3000</v>
      </c>
      <c r="F977" s="27">
        <f>E977/Config!$B$1</f>
        <v/>
      </c>
      <c r="G977" s="28" t="inlineStr">
        <is>
          <t>Estimado (mediana de categoría)</t>
        </is>
      </c>
    </row>
    <row r="978" ht="45.75" customHeight="1" s="19">
      <c r="A978" s="24" t="n">
        <v>7467</v>
      </c>
      <c r="B978" s="25" t="inlineStr">
        <is>
          <t>Integración básica de plataforma de comercio electrónico: conecta tu tienda online con facilidad</t>
        </is>
      </c>
      <c r="C978" s="24" t="inlineStr">
        <is>
          <t>Desarrollo Web y E-Commerce</t>
        </is>
      </c>
      <c r="D978" s="25" t="inlineStr">
        <is>
          <t>Integración básica de plataforma de comercio electrónico: conecta tu tienda online con tus sistemas internos para automatizar procesos y mejorar la eficiencia.</t>
        </is>
      </c>
      <c r="E978" s="26" t="n">
        <v>3000</v>
      </c>
      <c r="F978" s="27">
        <f>E978/Config!$B$1</f>
        <v/>
      </c>
      <c r="G978" s="28" t="inlineStr">
        <is>
          <t>Estimado (mediana de categoría)</t>
        </is>
      </c>
    </row>
    <row r="979" ht="23.25" customHeight="1" s="19">
      <c r="A979" s="24" t="n">
        <v>6665</v>
      </c>
      <c r="B979" s="25" t="inlineStr">
        <is>
          <t>Integración con Marketplaces: Expande tu alcance y aumenta tus ventas</t>
        </is>
      </c>
      <c r="C979" s="24" t="inlineStr">
        <is>
          <t>Desarrollo Web y E-Commerce</t>
        </is>
      </c>
      <c r="D979" s="25" t="inlineStr">
        <is>
          <t>Integración con Marketplaces Ecommerce: Expande tu negocio online</t>
        </is>
      </c>
      <c r="E979" s="26" t="n">
        <v>1500</v>
      </c>
      <c r="F979" s="27">
        <f>E979/Config!$B$1</f>
        <v/>
      </c>
      <c r="G979" s="24" t="inlineStr">
        <is>
          <t>Real</t>
        </is>
      </c>
    </row>
    <row r="980" ht="23.25" customHeight="1" s="19">
      <c r="A980" s="24" t="n">
        <v>8366</v>
      </c>
      <c r="B980" s="25" t="inlineStr">
        <is>
          <t>Integración con Marketplaces: Expande tu alcance y dispara tus ventas</t>
        </is>
      </c>
      <c r="C980" s="24" t="inlineStr">
        <is>
          <t>Desarrollo Web y E-Commerce</t>
        </is>
      </c>
      <c r="D980" s="25" t="inlineStr">
        <is>
          <t>Integración con Marketplaces: Expande tu alcance y aumenta tus ventas</t>
        </is>
      </c>
      <c r="E980" s="26" t="n">
        <v>3000</v>
      </c>
      <c r="F980" s="27">
        <f>E980/Config!$B$1</f>
        <v/>
      </c>
      <c r="G980" s="28" t="inlineStr">
        <is>
          <t>Estimado (mediana de categoría)</t>
        </is>
      </c>
    </row>
    <row r="981" ht="15" customHeight="1" s="19">
      <c r="A981" s="24" t="n">
        <v>6896</v>
      </c>
      <c r="B981" s="25" t="inlineStr">
        <is>
          <t>Integración de E-Commerce</t>
        </is>
      </c>
      <c r="C981" s="24" t="inlineStr">
        <is>
          <t>Desarrollo Web y E-Commerce</t>
        </is>
      </c>
      <c r="D981" s="25" t="inlineStr">
        <is>
          <t>Integración E-Commerce.</t>
        </is>
      </c>
      <c r="E981" s="26" t="n">
        <v>2100</v>
      </c>
      <c r="F981" s="27">
        <f>E981/Config!$B$1</f>
        <v/>
      </c>
      <c r="G981" s="24" t="inlineStr">
        <is>
          <t>Real</t>
        </is>
      </c>
    </row>
    <row r="982" ht="23.25" customHeight="1" s="19">
      <c r="A982" s="24" t="n">
        <v>7486</v>
      </c>
      <c r="B982" s="25" t="inlineStr">
        <is>
          <t>Integración de E-Commerce Personalizada: Conecta tu Negocio Online con Facilidad</t>
        </is>
      </c>
      <c r="C982" s="24" t="inlineStr">
        <is>
          <t>Desarrollo Web y E-Commerce</t>
        </is>
      </c>
      <c r="D982" s="25" t="inlineStr">
        <is>
          <t>Integración personalizada de e-commerce: la solución integral para tu negocio online</t>
        </is>
      </c>
      <c r="E982" s="26" t="n">
        <v>3000</v>
      </c>
      <c r="F982" s="27">
        <f>E982/Config!$B$1</f>
        <v/>
      </c>
      <c r="G982" s="28" t="inlineStr">
        <is>
          <t>Estimado (mediana de categoría)</t>
        </is>
      </c>
    </row>
    <row r="983" ht="23.25" customHeight="1" s="19">
      <c r="A983" s="24" t="n">
        <v>7491</v>
      </c>
      <c r="B983" s="25" t="inlineStr">
        <is>
          <t>Integración de E-Commerce: Conecta tu Tienda Online con Facilidad</t>
        </is>
      </c>
      <c r="C983" s="24" t="inlineStr">
        <is>
          <t>Desarrollo Web y E-Commerce</t>
        </is>
      </c>
      <c r="D983" s="25" t="inlineStr">
        <is>
          <t>Integración Completa de E-Commerce: La solución definitiva para tu negocio online.</t>
        </is>
      </c>
      <c r="E983" s="26" t="n">
        <v>3000</v>
      </c>
      <c r="F983" s="27">
        <f>E983/Config!$B$1</f>
        <v/>
      </c>
      <c r="G983" s="28" t="inlineStr">
        <is>
          <t>Estimado (mediana de categoría)</t>
        </is>
      </c>
    </row>
    <row r="984" ht="45.75" customHeight="1" s="19">
      <c r="A984" s="24" t="n">
        <v>8274</v>
      </c>
      <c r="B984" s="25" t="inlineStr">
        <is>
          <t>Integración de Ecommerce con Marketplaces: Amplía tu Alcance y Ventas</t>
        </is>
      </c>
      <c r="C984" s="24" t="inlineStr">
        <is>
          <t>Desarrollo Web y E-Commerce</t>
        </is>
      </c>
      <c r="D984" s="25" t="inlineStr">
        <is>
          <t>Integración de Ecommerce con Marketplaces: Amplía tu alcance y ventas. Conecta tu tienda online con los principales marketplaces para llegar a más clientes y aumentar tus ventas.</t>
        </is>
      </c>
      <c r="E984" s="26" t="n">
        <v>3000</v>
      </c>
      <c r="F984" s="27">
        <f>E984/Config!$B$1</f>
        <v/>
      </c>
      <c r="G984" s="28" t="inlineStr">
        <is>
          <t>Estimado (mediana de categoría)</t>
        </is>
      </c>
    </row>
    <row r="985" ht="34.5" customHeight="1" s="19">
      <c r="A985" s="24" t="n">
        <v>7460</v>
      </c>
      <c r="B985" s="25" t="inlineStr">
        <is>
          <t>Integración de Funcionalidades Extra: Mejora tu Experiencia Digital</t>
        </is>
      </c>
      <c r="C985" s="24" t="inlineStr">
        <is>
          <t>Desarrollo Web y E-Commerce</t>
        </is>
      </c>
      <c r="D985" s="25" t="inlineStr">
        <is>
          <t>Integración de Funcionalidades Extra: Optimiza tus procesos, maximiza la eficiencia y alcanza nuevas cotas de rendimiento.</t>
        </is>
      </c>
      <c r="E985" s="26" t="n">
        <v>3000</v>
      </c>
      <c r="F985" s="27">
        <f>E985/Config!$B$1</f>
        <v/>
      </c>
      <c r="G985" s="28" t="inlineStr">
        <is>
          <t>Estimado (mediana de categoría)</t>
        </is>
      </c>
    </row>
    <row r="986" ht="23.25" customHeight="1" s="19">
      <c r="A986" s="24" t="n">
        <v>6532</v>
      </c>
      <c r="B986" s="25" t="inlineStr">
        <is>
          <t>Integración de Marketplaces: Expande tu alcance y ventas en línea</t>
        </is>
      </c>
      <c r="C986" s="24" t="inlineStr">
        <is>
          <t>Desarrollo Web y E-Commerce</t>
        </is>
      </c>
      <c r="D986" s="25" t="inlineStr">
        <is>
          <t>Servicio de integración y gestión de tiendas en marketplaces</t>
        </is>
      </c>
      <c r="E986" s="26" t="n">
        <v>800</v>
      </c>
      <c r="F986" s="27">
        <f>E986/Config!$B$1</f>
        <v/>
      </c>
      <c r="G986" s="24" t="inlineStr">
        <is>
          <t>Real</t>
        </is>
      </c>
    </row>
    <row r="987" ht="23.25" customHeight="1" s="19">
      <c r="A987" s="24" t="n">
        <v>8234</v>
      </c>
      <c r="B987" s="25" t="inlineStr">
        <is>
          <t>Integración de Marketplaces: Expande tu alcance y ventas en línea</t>
        </is>
      </c>
      <c r="C987" s="24" t="inlineStr">
        <is>
          <t>Desarrollo Web y E-Commerce</t>
        </is>
      </c>
      <c r="D987" s="25" t="inlineStr">
        <is>
          <t>Servicio de integración y gestión de tiendas en marketplaces</t>
        </is>
      </c>
      <c r="E987" s="26" t="n">
        <v>3000</v>
      </c>
      <c r="F987" s="27">
        <f>E987/Config!$B$1</f>
        <v/>
      </c>
      <c r="G987" s="28" t="inlineStr">
        <is>
          <t>Estimado (mediana de categoría)</t>
        </is>
      </c>
    </row>
    <row r="988" ht="23.25" customHeight="1" s="19">
      <c r="A988" s="24" t="n">
        <v>6642</v>
      </c>
      <c r="B988" s="25" t="inlineStr">
        <is>
          <t>Integración de Pagos: Soluciones Seguras y Confiables para tu Ecommerce</t>
        </is>
      </c>
      <c r="C988" s="24" t="inlineStr">
        <is>
          <t>Desarrollo Web y E-Commerce</t>
        </is>
      </c>
      <c r="D988" s="25" t="inlineStr">
        <is>
          <t>Integración de Soluciones de Pago En Línea</t>
        </is>
      </c>
      <c r="E988" s="26" t="n">
        <v>500</v>
      </c>
      <c r="F988" s="27">
        <f>E988/Config!$B$1</f>
        <v/>
      </c>
      <c r="G988" s="24" t="inlineStr">
        <is>
          <t>Real</t>
        </is>
      </c>
    </row>
    <row r="989" ht="23.25" customHeight="1" s="19">
      <c r="A989" s="24" t="n">
        <v>8343</v>
      </c>
      <c r="B989" s="25" t="inlineStr">
        <is>
          <t>Integración de Pagos: Soluciones Seguras y Confiables para tu Tienda Virtual</t>
        </is>
      </c>
      <c r="C989" s="24" t="inlineStr">
        <is>
          <t>Desarrollo Web y E-Commerce</t>
        </is>
      </c>
      <c r="D989" s="25" t="inlineStr">
        <is>
          <t>Integración de Soluciones de Pago En Línea</t>
        </is>
      </c>
      <c r="E989" s="26" t="n">
        <v>3000</v>
      </c>
      <c r="F989" s="27">
        <f>E989/Config!$B$1</f>
        <v/>
      </c>
      <c r="G989" s="28" t="inlineStr">
        <is>
          <t>Estimado (mediana de categoría)</t>
        </is>
      </c>
    </row>
    <row r="990" ht="15" customHeight="1" s="19">
      <c r="A990" s="24" t="n">
        <v>6935</v>
      </c>
      <c r="B990" s="25" t="inlineStr">
        <is>
          <t>Integración de Pasarelas de Pago</t>
        </is>
      </c>
      <c r="C990" s="24" t="inlineStr">
        <is>
          <t>Desarrollo Web y E-Commerce</t>
        </is>
      </c>
      <c r="D990" s="25" t="inlineStr">
        <is>
          <t>Integración De Pasarelas De Pago</t>
        </is>
      </c>
      <c r="E990" s="26" t="n">
        <v>1300</v>
      </c>
      <c r="F990" s="27">
        <f>E990/Config!$B$1</f>
        <v/>
      </c>
      <c r="G990" s="24" t="inlineStr">
        <is>
          <t>Real</t>
        </is>
      </c>
    </row>
    <row r="991" ht="23.25" customHeight="1" s="19">
      <c r="A991" s="24" t="n">
        <v>8394</v>
      </c>
      <c r="B991" s="25" t="inlineStr">
        <is>
          <t>Integración de Pasarelas de Pago para Ecommerce: Amplía tus Opciones y Optimiza tus Ventas</t>
        </is>
      </c>
      <c r="C991" s="24" t="inlineStr">
        <is>
          <t>Desarrollo Web y E-Commerce</t>
        </is>
      </c>
      <c r="D991" s="25" t="inlineStr">
        <is>
          <t>Integración de Pasarelas de Pago para Ecommerce: Amplía tus opciones de pago y optimiza tus ventas.</t>
        </is>
      </c>
      <c r="E991" s="26" t="n">
        <v>3000</v>
      </c>
      <c r="F991" s="27">
        <f>E991/Config!$B$1</f>
        <v/>
      </c>
      <c r="G991" s="28" t="inlineStr">
        <is>
          <t>Estimado (mediana de categoría)</t>
        </is>
      </c>
    </row>
    <row r="992" ht="23.25" customHeight="1" s="19">
      <c r="A992" s="24" t="n">
        <v>8269</v>
      </c>
      <c r="B992" s="25" t="inlineStr">
        <is>
          <t>Integración de Pasarelas de Pago: Optimiza tu E-commerce con Pagos Seguros y Eficientes</t>
        </is>
      </c>
      <c r="C992" s="24" t="inlineStr">
        <is>
          <t>Desarrollo Web y E-Commerce</t>
        </is>
      </c>
      <c r="D992" s="25" t="inlineStr">
        <is>
          <t>Integración de Pasarelas de Pago: ¡Optimiza tu E-commerce con Pagos Seguros y Eficientes!</t>
        </is>
      </c>
      <c r="E992" s="26" t="n">
        <v>3000</v>
      </c>
      <c r="F992" s="27">
        <f>E992/Config!$B$1</f>
        <v/>
      </c>
      <c r="G992" s="28" t="inlineStr">
        <is>
          <t>Estimado (mediana de categoría)</t>
        </is>
      </c>
    </row>
    <row r="993" ht="15" customHeight="1" s="19">
      <c r="A993" s="24" t="n">
        <v>6912</v>
      </c>
      <c r="B993" s="25" t="inlineStr">
        <is>
          <t>Integración de Plataforma de Comercio Electrónico</t>
        </is>
      </c>
      <c r="C993" s="24" t="inlineStr">
        <is>
          <t>Desarrollo Web y E-Commerce</t>
        </is>
      </c>
      <c r="D993" s="25" t="inlineStr">
        <is>
          <t>Integración De E-Commerce.</t>
        </is>
      </c>
      <c r="E993" s="26" t="n">
        <v>2500</v>
      </c>
      <c r="F993" s="27">
        <f>E993/Config!$B$1</f>
        <v/>
      </c>
      <c r="G993" s="24" t="inlineStr">
        <is>
          <t>Real</t>
        </is>
      </c>
    </row>
    <row r="994" ht="15" customHeight="1" s="19">
      <c r="A994" s="24" t="n">
        <v>6170</v>
      </c>
      <c r="B994" s="25" t="inlineStr">
        <is>
          <t>Integración de Plataformas de Pago Avanzadas</t>
        </is>
      </c>
      <c r="C994" s="24" t="inlineStr">
        <is>
          <t>Desarrollo Web y E-Commerce</t>
        </is>
      </c>
      <c r="D994" s="25" t="inlineStr">
        <is>
          <t>Integración De Pagos</t>
        </is>
      </c>
      <c r="E994" s="26" t="n">
        <v>3800</v>
      </c>
      <c r="F994" s="27">
        <f>E994/Config!$B$1</f>
        <v/>
      </c>
      <c r="G994" s="24" t="inlineStr">
        <is>
          <t>Real</t>
        </is>
      </c>
    </row>
    <row r="995" ht="15" customHeight="1" s="19">
      <c r="A995" s="24" t="n">
        <v>7894</v>
      </c>
      <c r="B995" s="25" t="inlineStr">
        <is>
          <t>Integración de Plataformas de Pago Avanzadas</t>
        </is>
      </c>
      <c r="C995" s="24" t="inlineStr">
        <is>
          <t>Desarrollo Web y E-Commerce</t>
        </is>
      </c>
      <c r="D995" s="25" t="inlineStr">
        <is>
          <t>Integración De Pagos</t>
        </is>
      </c>
      <c r="E995" s="26" t="n">
        <v>3000</v>
      </c>
      <c r="F995" s="27">
        <f>E995/Config!$B$1</f>
        <v/>
      </c>
      <c r="G995" s="28" t="inlineStr">
        <is>
          <t>Estimado (mediana de categoría)</t>
        </is>
      </c>
    </row>
    <row r="996" ht="23.25" customHeight="1" s="19">
      <c r="A996" s="24" t="n">
        <v>8395</v>
      </c>
      <c r="B996" s="25" t="inlineStr">
        <is>
          <t>Integración de Sistemas Ecommerce: Automatiza y Optimiza tu Negocio Online</t>
        </is>
      </c>
      <c r="C996" s="24" t="inlineStr">
        <is>
          <t>Desarrollo Web y E-Commerce</t>
        </is>
      </c>
      <c r="D996" s="25" t="inlineStr">
        <is>
          <t>Integración de Sistemas Ecommerce: Automatiza y Optimiza tu Negocio Online</t>
        </is>
      </c>
      <c r="E996" s="26" t="n">
        <v>3000</v>
      </c>
      <c r="F996" s="27">
        <f>E996/Config!$B$1</f>
        <v/>
      </c>
      <c r="G996" s="28" t="inlineStr">
        <is>
          <t>Estimado (mediana de categoría)</t>
        </is>
      </c>
    </row>
    <row r="997" ht="15" customHeight="1" s="19">
      <c r="A997" s="24" t="n">
        <v>6921</v>
      </c>
      <c r="B997" s="25" t="inlineStr">
        <is>
          <t>Integración de WooCommerce</t>
        </is>
      </c>
      <c r="C997" s="24" t="inlineStr">
        <is>
          <t>Desarrollo Web y E-Commerce</t>
        </is>
      </c>
      <c r="D997" s="25" t="inlineStr">
        <is>
          <t>Integración De Woocommerce En Ecommerce.</t>
        </is>
      </c>
      <c r="E997" s="26" t="n">
        <v>1200</v>
      </c>
      <c r="F997" s="27">
        <f>E997/Config!$B$1</f>
        <v/>
      </c>
      <c r="G997" s="24" t="inlineStr">
        <is>
          <t>Real</t>
        </is>
      </c>
    </row>
    <row r="998" ht="23.25" customHeight="1" s="19">
      <c r="A998" s="24" t="n">
        <v>6872</v>
      </c>
      <c r="B998" s="25" t="inlineStr">
        <is>
          <t>Integración de plataformas de comercio electrónico</t>
        </is>
      </c>
      <c r="C998" s="24" t="inlineStr">
        <is>
          <t>Desarrollo Web y E-Commerce</t>
        </is>
      </c>
      <c r="D998" s="25" t="inlineStr">
        <is>
          <t>Optimización De Ventas Online A Través De La Integración De Plataformas E-Commerce.</t>
        </is>
      </c>
      <c r="E998" s="26" t="n">
        <v>3150</v>
      </c>
      <c r="F998" s="27">
        <f>E998/Config!$B$1</f>
        <v/>
      </c>
      <c r="G998" s="24" t="inlineStr">
        <is>
          <t>Real</t>
        </is>
      </c>
    </row>
    <row r="999" ht="15" customHeight="1" s="19">
      <c r="A999" s="24" t="n">
        <v>6839</v>
      </c>
      <c r="B999" s="25" t="inlineStr">
        <is>
          <t>Mantenimiento de Aplicaciones Web</t>
        </is>
      </c>
      <c r="C999" s="24" t="inlineStr">
        <is>
          <t>Desarrollo Web y E-Commerce</t>
        </is>
      </c>
      <c r="D999" s="25" t="inlineStr">
        <is>
          <t>Mantenimiento De Aplicaciones Web</t>
        </is>
      </c>
      <c r="E999" s="26" t="n">
        <v>1800</v>
      </c>
      <c r="F999" s="27">
        <f>E999/Config!$B$1</f>
        <v/>
      </c>
      <c r="G999" s="24" t="inlineStr">
        <is>
          <t>Real</t>
        </is>
      </c>
    </row>
    <row r="1000" ht="23.25" customHeight="1" s="19">
      <c r="A1000" s="24" t="n">
        <v>6465</v>
      </c>
      <c r="B1000" s="25" t="inlineStr">
        <is>
          <t>Mantenimiento de sitios web</t>
        </is>
      </c>
      <c r="C1000" s="24" t="inlineStr">
        <is>
          <t>Desarrollo Web y E-Commerce</t>
        </is>
      </c>
      <c r="D1000" s="25" t="inlineStr">
        <is>
          <t>Servicio De Mantenimiento Y Soporte Para Sitios Web.</t>
        </is>
      </c>
      <c r="E1000" s="26" t="n">
        <v>150</v>
      </c>
      <c r="F1000" s="27">
        <f>E1000/Config!$B$1</f>
        <v/>
      </c>
      <c r="G1000" s="24" t="inlineStr">
        <is>
          <t>Real</t>
        </is>
      </c>
    </row>
    <row r="1001" ht="23.25" customHeight="1" s="19">
      <c r="A1001" s="24" t="n">
        <v>8175</v>
      </c>
      <c r="B1001" s="25" t="inlineStr">
        <is>
          <t>Mantenimiento de sitios web</t>
        </is>
      </c>
      <c r="C1001" s="24" t="inlineStr">
        <is>
          <t>Desarrollo Web y E-Commerce</t>
        </is>
      </c>
      <c r="D1001" s="25" t="inlineStr">
        <is>
          <t>Servicio De Mantenimiento Y Soporte Para Sitios Web.</t>
        </is>
      </c>
      <c r="E1001" s="26" t="n">
        <v>3000</v>
      </c>
      <c r="F1001" s="27">
        <f>E1001/Config!$B$1</f>
        <v/>
      </c>
      <c r="G1001" s="28" t="inlineStr">
        <is>
          <t>Estimado (mediana de categoría)</t>
        </is>
      </c>
    </row>
    <row r="1002" ht="57" customHeight="1" s="19">
      <c r="A1002" s="24" t="n">
        <v>8283</v>
      </c>
      <c r="B1002" s="25" t="inlineStr">
        <is>
          <t>Mejora tu Experiencia de Usuario (UX) en Ecommerce: Análisis, Diseño y Optimización para Mayor Conversión</t>
        </is>
      </c>
      <c r="C1002" s="24" t="inlineStr">
        <is>
          <t>Desarrollo Web y E-Commerce</t>
        </is>
      </c>
      <c r="D1002" s="25" t="inlineStr">
        <is>
          <t>Servicio de Mejora de Experiencia de Usuario (UX) para Ecommerce: análisis exhaustivo, optimización de interfaz de usuario, pruebas de usabilidad, recomendaciones personalizadas, informes detallados.</t>
        </is>
      </c>
      <c r="E1002" s="26" t="n">
        <v>3000</v>
      </c>
      <c r="F1002" s="27">
        <f>E1002/Config!$B$1</f>
        <v/>
      </c>
      <c r="G1002" s="28" t="inlineStr">
        <is>
          <t>Estimado (mediana de categoría)</t>
        </is>
      </c>
    </row>
    <row r="1003" ht="15" customHeight="1" s="19">
      <c r="A1003" s="24" t="n">
        <v>6072</v>
      </c>
      <c r="B1003" s="25" t="inlineStr">
        <is>
          <t>Microservicios y Contenedores</t>
        </is>
      </c>
      <c r="C1003" s="24" t="inlineStr">
        <is>
          <t>Desarrollo Web y E-Commerce</t>
        </is>
      </c>
      <c r="D1003" s="25" t="inlineStr">
        <is>
          <t>Aplicaciones Con Microservicios.</t>
        </is>
      </c>
      <c r="E1003" s="26" t="n">
        <v>3000</v>
      </c>
      <c r="F1003" s="27">
        <f>E1003/Config!$B$1</f>
        <v/>
      </c>
      <c r="G1003" s="28" t="inlineStr">
        <is>
          <t>Estimado (mediana de categoría)</t>
        </is>
      </c>
    </row>
    <row r="1004" ht="34.5" customHeight="1" s="19">
      <c r="A1004" s="24" t="n">
        <v>8355</v>
      </c>
      <c r="B1004" s="25" t="inlineStr">
        <is>
          <t>Migración de Plataforma E-commerce: Mejora tu Tienda Online con una Transferencia Segura y Eficiente</t>
        </is>
      </c>
      <c r="C1004" s="24" t="inlineStr">
        <is>
          <t>Desarrollo Web y E-Commerce</t>
        </is>
      </c>
      <c r="D1004" s="25" t="inlineStr">
        <is>
          <t>Migración de Plataforma Ecommerce: Mejora tu Tienda Online con una Transferencia Segura y Eficiente</t>
        </is>
      </c>
      <c r="E1004" s="26" t="n">
        <v>3000</v>
      </c>
      <c r="F1004" s="27">
        <f>E1004/Config!$B$1</f>
        <v/>
      </c>
      <c r="G1004" s="28" t="inlineStr">
        <is>
          <t>Estimado (mediana de categoría)</t>
        </is>
      </c>
    </row>
    <row r="1005" ht="23.25" customHeight="1" s="19">
      <c r="A1005" s="24" t="n">
        <v>6654</v>
      </c>
      <c r="B1005" s="25" t="inlineStr">
        <is>
          <t>Migración de Plataforma Ecommerce: Mejora tu Tienda Online con una Transferencia Segura y Eficiente</t>
        </is>
      </c>
      <c r="C1005" s="24" t="inlineStr">
        <is>
          <t>Desarrollo Web y E-Commerce</t>
        </is>
      </c>
      <c r="D1005" s="25" t="inlineStr">
        <is>
          <t>Migración de Plataforma Ecommerce: La clave para el crecimiento y la innovación</t>
        </is>
      </c>
      <c r="E1005" s="26" t="n">
        <v>1500</v>
      </c>
      <c r="F1005" s="27">
        <f>E1005/Config!$B$1</f>
        <v/>
      </c>
      <c r="G1005" s="24" t="inlineStr">
        <is>
          <t>Real</t>
        </is>
      </c>
    </row>
    <row r="1006" ht="34.5" customHeight="1" s="19">
      <c r="A1006" s="24" t="n">
        <v>8273</v>
      </c>
      <c r="B1006" s="25" t="inlineStr">
        <is>
          <t>Migración de Plataforma de Ecommerce: Transición Segura y Potenciada</t>
        </is>
      </c>
      <c r="C1006" s="24" t="inlineStr">
        <is>
          <t>Desarrollo Web y E-Commerce</t>
        </is>
      </c>
      <c r="D1006" s="25" t="inlineStr">
        <is>
          <t>Servicio de Migración de Plataforma de Ecommerce: Migrá tu tienda online sin problemas a una plataforma más potente y eficiente.</t>
        </is>
      </c>
      <c r="E1006" s="26" t="n">
        <v>3000</v>
      </c>
      <c r="F1006" s="27">
        <f>E1006/Config!$B$1</f>
        <v/>
      </c>
      <c r="G1006" s="28" t="inlineStr">
        <is>
          <t>Estimado (mediana de categoría)</t>
        </is>
      </c>
    </row>
    <row r="1007" ht="45.75" customHeight="1" s="19">
      <c r="A1007" s="24" t="n">
        <v>6553</v>
      </c>
      <c r="B1007" s="25" t="inlineStr">
        <is>
          <t>Migración de Plataforma: Actualiza tu Ecommerce con las Últimas Tendencias</t>
        </is>
      </c>
      <c r="C1007" s="24" t="inlineStr">
        <is>
          <t>Desarrollo Web y E-Commerce</t>
        </is>
      </c>
      <c r="D1007" s="25" t="inlineStr">
        <is>
          <t>Servicio de Migración de Plataforma Ecommerce: Migra tu tienda online a una plataforma más potente y escalable para crecer y escalar tu negocio sin problemas.</t>
        </is>
      </c>
      <c r="E1007" s="26" t="n">
        <v>2500</v>
      </c>
      <c r="F1007" s="27">
        <f>E1007/Config!$B$1</f>
        <v/>
      </c>
      <c r="G1007" s="24" t="inlineStr">
        <is>
          <t>Real</t>
        </is>
      </c>
    </row>
    <row r="1008" ht="45.75" customHeight="1" s="19">
      <c r="A1008" s="24" t="n">
        <v>8255</v>
      </c>
      <c r="B1008" s="25" t="inlineStr">
        <is>
          <t>Migración de Plataforma: Actualizá tu E-commerce con lo Último</t>
        </is>
      </c>
      <c r="C1008" s="24" t="inlineStr">
        <is>
          <t>Desarrollo Web y E-Commerce</t>
        </is>
      </c>
      <c r="D1008" s="25" t="inlineStr">
        <is>
          <t>Servicio de Migración de Plataforma Ecommerce: Actualiza tu tienda online a una plataforma más potente y escalable para crecer y escalar tu negocio sin problemas.</t>
        </is>
      </c>
      <c r="E1008" s="26" t="n">
        <v>3000</v>
      </c>
      <c r="F1008" s="27">
        <f>E1008/Config!$B$1</f>
        <v/>
      </c>
      <c r="G1008" s="28" t="inlineStr">
        <is>
          <t>Estimado (mediana de categoría)</t>
        </is>
      </c>
    </row>
    <row r="1009" ht="15" customHeight="1" s="19">
      <c r="A1009" s="24" t="n">
        <v>7818</v>
      </c>
      <c r="B1009" s="25" t="inlineStr">
        <is>
          <t>Migración de Sistemas Legacy</t>
        </is>
      </c>
      <c r="C1009" s="24" t="inlineStr">
        <is>
          <t>Desarrollo Web y E-Commerce</t>
        </is>
      </c>
      <c r="D1009" s="25" t="inlineStr">
        <is>
          <t>Migración De Sistemas Legacy</t>
        </is>
      </c>
      <c r="E1009" s="26" t="n">
        <v>3000</v>
      </c>
      <c r="F1009" s="27">
        <f>E1009/Config!$B$1</f>
        <v/>
      </c>
      <c r="G1009" s="28" t="inlineStr">
        <is>
          <t>Estimado (mediana de categoría)</t>
        </is>
      </c>
    </row>
    <row r="1010" ht="15" customHeight="1" s="19">
      <c r="A1010" s="24" t="n">
        <v>7815</v>
      </c>
      <c r="B1010" s="25" t="inlineStr">
        <is>
          <t>Migración de aplicaciones legacy</t>
        </is>
      </c>
      <c r="C1010" s="24" t="inlineStr">
        <is>
          <t>Desarrollo Web y E-Commerce</t>
        </is>
      </c>
      <c r="D1010" s="25" t="inlineStr">
        <is>
          <t>Migración De Aplicaciones Legacy A Microservicios.</t>
        </is>
      </c>
      <c r="E1010" s="26" t="n">
        <v>3000</v>
      </c>
      <c r="F1010" s="27">
        <f>E1010/Config!$B$1</f>
        <v/>
      </c>
      <c r="G1010" s="28" t="inlineStr">
        <is>
          <t>Estimado (mediana de categoría)</t>
        </is>
      </c>
    </row>
    <row r="1011" ht="68.25" customHeight="1" s="19">
      <c r="A1011" s="24" t="n">
        <v>8286</v>
      </c>
      <c r="B1011" s="25" t="inlineStr">
        <is>
          <t>Migración y Actualización de Plataformas Ecommerce: Optimiza tu Tienda Online</t>
        </is>
      </c>
      <c r="C1011" s="24" t="inlineStr">
        <is>
          <t>Desarrollo Web y E-Commerce</t>
        </is>
      </c>
      <c r="D1011" s="25" t="inlineStr">
        <is>
          <t>Servicio de Migración y Actualización de Plataforma Ecommerce: Migración segura, actualizaciones personalizadas, integraciones avanzadas y soporte experto para mejorar el rendimiento, las funcionalidades, la seguridad y la escalabilidad de tu tienda online.</t>
        </is>
      </c>
      <c r="E1011" s="26" t="n">
        <v>3000</v>
      </c>
      <c r="F1011" s="27">
        <f>E1011/Config!$B$1</f>
        <v/>
      </c>
      <c r="G1011" s="28" t="inlineStr">
        <is>
          <t>Estimado (mediana de categoría)</t>
        </is>
      </c>
    </row>
    <row r="1012" ht="15" customHeight="1" s="19">
      <c r="A1012" s="24" t="n">
        <v>6024</v>
      </c>
      <c r="B1012" s="25" t="inlineStr">
        <is>
          <t>Migración y Modernización</t>
        </is>
      </c>
      <c r="C1012" s="24" t="inlineStr">
        <is>
          <t>Desarrollo Web y E-Commerce</t>
        </is>
      </c>
      <c r="D1012" s="25" t="inlineStr">
        <is>
          <t>Modernización</t>
        </is>
      </c>
      <c r="E1012" s="26" t="n">
        <v>3000</v>
      </c>
      <c r="F1012" s="27">
        <f>E1012/Config!$B$1</f>
        <v/>
      </c>
      <c r="G1012" s="28" t="inlineStr">
        <is>
          <t>Estimado (mediana de categoría)</t>
        </is>
      </c>
    </row>
    <row r="1013" ht="15" customHeight="1" s="19">
      <c r="A1013" s="24" t="n">
        <v>5928</v>
      </c>
      <c r="B1013" s="25" t="inlineStr">
        <is>
          <t>Migración y modernización de aplicaciones</t>
        </is>
      </c>
      <c r="C1013" s="24" t="inlineStr">
        <is>
          <t>Desarrollo Web y E-Commerce</t>
        </is>
      </c>
      <c r="D1013" s="25" t="inlineStr">
        <is>
          <t>Migración Y Modernización De Aplicaciones.</t>
        </is>
      </c>
      <c r="E1013" s="26" t="n">
        <v>6500</v>
      </c>
      <c r="F1013" s="27">
        <f>E1013/Config!$B$1</f>
        <v/>
      </c>
      <c r="G1013" s="24" t="inlineStr">
        <is>
          <t>Real</t>
        </is>
      </c>
    </row>
    <row r="1014" ht="15" customHeight="1" s="19">
      <c r="A1014" s="24" t="n">
        <v>7710</v>
      </c>
      <c r="B1014" s="25" t="inlineStr">
        <is>
          <t>Migración y modernización de aplicaciones</t>
        </is>
      </c>
      <c r="C1014" s="24" t="inlineStr">
        <is>
          <t>Desarrollo Web y E-Commerce</t>
        </is>
      </c>
      <c r="D1014" s="25" t="inlineStr">
        <is>
          <t>Migración Y Modernización De Aplicaciones.</t>
        </is>
      </c>
      <c r="E1014" s="26" t="n">
        <v>3000</v>
      </c>
      <c r="F1014" s="27">
        <f>E1014/Config!$B$1</f>
        <v/>
      </c>
      <c r="G1014" s="28" t="inlineStr">
        <is>
          <t>Estimado (mediana de categoría)</t>
        </is>
      </c>
    </row>
    <row r="1015" ht="34.5" customHeight="1" s="19">
      <c r="A1015" s="24" t="n">
        <v>8294</v>
      </c>
      <c r="B1015" s="25" t="inlineStr">
        <is>
          <t>Optimización de Búsqueda Interna: Mejora la Experiencia del Usuario y Aumenta las Conversiones</t>
        </is>
      </c>
      <c r="C1015" s="24" t="inlineStr">
        <is>
          <t>Desarrollo Web y E-Commerce</t>
        </is>
      </c>
      <c r="D1015" s="25" t="inlineStr">
        <is>
          <t>Optimización de Búsqueda Interna: Mejora la experiencia de búsqueda de tus clientes, aumenta las conversiones y genera mayores ingresos.</t>
        </is>
      </c>
      <c r="E1015" s="26" t="n">
        <v>3000</v>
      </c>
      <c r="F1015" s="27">
        <f>E1015/Config!$B$1</f>
        <v/>
      </c>
      <c r="G1015" s="28" t="inlineStr">
        <is>
          <t>Estimado (mediana de categoría)</t>
        </is>
      </c>
    </row>
    <row r="1016" ht="23.25" customHeight="1" s="19">
      <c r="A1016" s="24" t="n">
        <v>6673</v>
      </c>
      <c r="B1016" s="25" t="inlineStr">
        <is>
          <t>Optimización de Conversión para Ecommerce: Aumenta tus Ventas Online</t>
        </is>
      </c>
      <c r="C1016" s="24" t="inlineStr">
        <is>
          <t>Desarrollo Web y E-Commerce</t>
        </is>
      </c>
      <c r="D1016" s="25" t="inlineStr">
        <is>
          <t>Servicios de Optimización de Conversión para Ecommerce</t>
        </is>
      </c>
      <c r="E1016" s="26" t="n">
        <v>1500</v>
      </c>
      <c r="F1016" s="27">
        <f>E1016/Config!$B$1</f>
        <v/>
      </c>
      <c r="G1016" s="24" t="inlineStr">
        <is>
          <t>Real</t>
        </is>
      </c>
    </row>
    <row r="1017" ht="34.5" customHeight="1" s="19">
      <c r="A1017" s="24" t="n">
        <v>8374</v>
      </c>
      <c r="B1017" s="25" t="inlineStr">
        <is>
          <t>Optimización de Conversión para Ecommerce: Impulsa tus Ventas y Maximiza tus Ingresos</t>
        </is>
      </c>
      <c r="C1017" s="24" t="inlineStr">
        <is>
          <t>Desarrollo Web y E-Commerce</t>
        </is>
      </c>
      <c r="D1017" s="25" t="inlineStr">
        <is>
          <t>Servicios de Optimización de Conversión para Ecommerce: Impulsa tus ventas y maximiza tus ingresos.</t>
        </is>
      </c>
      <c r="E1017" s="26" t="n">
        <v>3000</v>
      </c>
      <c r="F1017" s="27">
        <f>E1017/Config!$B$1</f>
        <v/>
      </c>
      <c r="G1017" s="28" t="inlineStr">
        <is>
          <t>Estimado (mediana de categoría)</t>
        </is>
      </c>
    </row>
    <row r="1018" ht="34.5" customHeight="1" s="19">
      <c r="A1018" s="24" t="n">
        <v>8287</v>
      </c>
      <c r="B1018" s="25" t="inlineStr">
        <is>
          <t>Optimización de Embudos de Conversión para E-commerce: Aumenta tus Ventas y Mejora la Experiencia del Cliente</t>
        </is>
      </c>
      <c r="C1018" s="24" t="inlineStr">
        <is>
          <t>Desarrollo Web y E-Commerce</t>
        </is>
      </c>
      <c r="D1018" s="25" t="inlineStr">
        <is>
          <t>Servicio de Optimización de Funnels de Conversión para Ecommerce: Aumenta tus ventas y mejora la experiencia del cliente.</t>
        </is>
      </c>
      <c r="E1018" s="26" t="n">
        <v>3000</v>
      </c>
      <c r="F1018" s="27">
        <f>E1018/Config!$B$1</f>
        <v/>
      </c>
      <c r="G1018" s="28" t="inlineStr">
        <is>
          <t>Estimado (mediana de categoría)</t>
        </is>
      </c>
    </row>
    <row r="1019" ht="15" customHeight="1" s="19">
      <c r="A1019" s="24" t="n">
        <v>6928</v>
      </c>
      <c r="B1019" s="25" t="inlineStr">
        <is>
          <t>Optimización de Performance Web</t>
        </is>
      </c>
      <c r="C1019" s="24" t="inlineStr">
        <is>
          <t>Desarrollo Web y E-Commerce</t>
        </is>
      </c>
      <c r="D1019" s="25" t="inlineStr">
        <is>
          <t>Optimización De Rendimiento Web</t>
        </is>
      </c>
      <c r="E1019" s="26" t="n">
        <v>900</v>
      </c>
      <c r="F1019" s="27">
        <f>E1019/Config!$B$1</f>
        <v/>
      </c>
      <c r="G1019" s="24" t="inlineStr">
        <is>
          <t>Real</t>
        </is>
      </c>
    </row>
    <row r="1020" ht="15" customHeight="1" s="19">
      <c r="A1020" s="24" t="n">
        <v>6139</v>
      </c>
      <c r="B1020" s="25" t="inlineStr">
        <is>
          <t>Optimización de Sitios Web</t>
        </is>
      </c>
      <c r="C1020" s="24" t="inlineStr">
        <is>
          <t>Desarrollo Web y E-Commerce</t>
        </is>
      </c>
      <c r="D1020" s="25" t="inlineStr">
        <is>
          <t>Optimización Web</t>
        </is>
      </c>
      <c r="E1020" s="26" t="n">
        <v>4000</v>
      </c>
      <c r="F1020" s="27">
        <f>E1020/Config!$B$1</f>
        <v/>
      </c>
      <c r="G1020" s="24" t="inlineStr">
        <is>
          <t>Real</t>
        </is>
      </c>
    </row>
    <row r="1021" ht="15" customHeight="1" s="19">
      <c r="A1021" s="24" t="n">
        <v>7863</v>
      </c>
      <c r="B1021" s="25" t="inlineStr">
        <is>
          <t>Optimización de Sitios Web</t>
        </is>
      </c>
      <c r="C1021" s="24" t="inlineStr">
        <is>
          <t>Desarrollo Web y E-Commerce</t>
        </is>
      </c>
      <c r="D1021" s="25" t="inlineStr">
        <is>
          <t>Optimización Web</t>
        </is>
      </c>
      <c r="E1021" s="26" t="n">
        <v>3000</v>
      </c>
      <c r="F1021" s="27">
        <f>E1021/Config!$B$1</f>
        <v/>
      </c>
      <c r="G1021" s="28" t="inlineStr">
        <is>
          <t>Estimado (mediana de categoría)</t>
        </is>
      </c>
    </row>
    <row r="1022" ht="23.25" customHeight="1" s="19">
      <c r="A1022" s="24" t="n">
        <v>8345</v>
      </c>
      <c r="B1022" s="25" t="inlineStr">
        <is>
          <t>Optimización de Tienda Virtual: Impulsa tu rendimiento y ventas</t>
        </is>
      </c>
      <c r="C1022" s="24" t="inlineStr">
        <is>
          <t>Desarrollo Web y E-Commerce</t>
        </is>
      </c>
      <c r="D1022" s="25" t="inlineStr">
        <is>
          <t>Optimización de Tienda Virtual: Mejora el rendimiento, aumenta las ventas y maximiza el ROI.</t>
        </is>
      </c>
      <c r="E1022" s="26" t="n">
        <v>3000</v>
      </c>
      <c r="F1022" s="27">
        <f>E1022/Config!$B$1</f>
        <v/>
      </c>
      <c r="G1022" s="28" t="inlineStr">
        <is>
          <t>Estimado (mediana de categoría)</t>
        </is>
      </c>
    </row>
    <row r="1023" ht="23.25" customHeight="1" s="19">
      <c r="A1023" s="24" t="n">
        <v>6644</v>
      </c>
      <c r="B1023" s="25" t="inlineStr">
        <is>
          <t>Optimización de Tienda Virtual: Mejora tu rendimiento y aumenta tus ventas</t>
        </is>
      </c>
      <c r="C1023" s="24" t="inlineStr">
        <is>
          <t>Desarrollo Web y E-Commerce</t>
        </is>
      </c>
      <c r="D1023" s="25" t="inlineStr">
        <is>
          <t>Optimización de Tienda Virtual para mejorar el rendimiento</t>
        </is>
      </c>
      <c r="E1023" s="26" t="n">
        <v>700</v>
      </c>
      <c r="F1023" s="27">
        <f>E1023/Config!$B$1</f>
        <v/>
      </c>
      <c r="G1023" s="24" t="inlineStr">
        <is>
          <t>Real</t>
        </is>
      </c>
    </row>
    <row r="1024" ht="57" customHeight="1" s="19">
      <c r="A1024" s="24" t="n">
        <v>8233</v>
      </c>
      <c r="B1024" s="25" t="inlineStr">
        <is>
          <t>Optimización de Tiendas Online: Aumenta el Tráfico, las Ventas y la Satisfacción del Cliente</t>
        </is>
      </c>
      <c r="C1024" s="24" t="inlineStr">
        <is>
          <t>Desarrollo Web y E-Commerce</t>
        </is>
      </c>
      <c r="D1024" s="25" t="inlineStr">
        <is>
          <t>Optimización de Tiendas Online: Mejora el rendimiento, aumenta las ventas y satisface a tus clientes. Servicio para optimizar y mejorar tiendas online, aumentando el tráfico, las conversiones y el retorno de la inversión.</t>
        </is>
      </c>
      <c r="E1024" s="26" t="n">
        <v>3000</v>
      </c>
      <c r="F1024" s="27">
        <f>E1024/Config!$B$1</f>
        <v/>
      </c>
      <c r="G1024" s="28" t="inlineStr">
        <is>
          <t>Estimado (mediana de categoría)</t>
        </is>
      </c>
    </row>
    <row r="1025" ht="34.5" customHeight="1" s="19">
      <c r="A1025" s="24" t="n">
        <v>6531</v>
      </c>
      <c r="B1025" s="25" t="inlineStr">
        <is>
          <t>Optimización de Tiendas Online: Mejora el Rendimiento, Aumenta las Ventas y Satisface a tus Clientes</t>
        </is>
      </c>
      <c r="C1025" s="24" t="inlineStr">
        <is>
          <t>Desarrollo Web y E-Commerce</t>
        </is>
      </c>
      <c r="D1025" s="25" t="inlineStr">
        <is>
          <t>Servicio de optimización y mejora de tiendas online para aumentar el tráfico, las conversiones y el retorno de la inversión.</t>
        </is>
      </c>
      <c r="E1025" s="26" t="n">
        <v>1000</v>
      </c>
      <c r="F1025" s="27">
        <f>E1025/Config!$B$1</f>
        <v/>
      </c>
      <c r="G1025" s="24" t="inlineStr">
        <is>
          <t>Real</t>
        </is>
      </c>
    </row>
    <row r="1026" ht="15" customHeight="1" s="19">
      <c r="A1026" s="24" t="n">
        <v>6853</v>
      </c>
      <c r="B1026" s="25" t="inlineStr">
        <is>
          <t>Optimización de tiendas online</t>
        </is>
      </c>
      <c r="C1026" s="24" t="inlineStr">
        <is>
          <t>Desarrollo Web y E-Commerce</t>
        </is>
      </c>
      <c r="D1026" s="25" t="n"/>
      <c r="E1026" s="26" t="n">
        <v>1</v>
      </c>
      <c r="F1026" s="27">
        <f>E1026/Config!$B$1</f>
        <v/>
      </c>
      <c r="G1026" s="24" t="inlineStr">
        <is>
          <t>Real</t>
        </is>
      </c>
    </row>
    <row r="1027" ht="79.5" customHeight="1" s="19">
      <c r="A1027" s="24" t="n">
        <v>7548</v>
      </c>
      <c r="B1027" s="25" t="inlineStr">
        <is>
          <t>Optimización del Rendimiento: Mejora la Velocidad, Eficiencia y Fiabilidad de tu Sitio Web</t>
        </is>
      </c>
      <c r="C1027" s="24" t="inlineStr">
        <is>
          <t>Desarrollo Web y E-Commerce</t>
        </is>
      </c>
      <c r="D1027" s="25" t="inlineStr">
        <is>
          <t>Optimización del Rendimiento: La clave para el éxito empresarial. Analiza datos en tiempo real, identifica cuellos de botella, brinda recomendaciones personalizadas, automatiza procesos y genera informes. Mejora la eficiencia, reduce costos, respalda la toma de decisiones y brinda una ventaja competitiva.</t>
        </is>
      </c>
      <c r="E1027" s="26" t="n">
        <v>400</v>
      </c>
      <c r="F1027" s="27">
        <f>E1027/Config!$B$1</f>
        <v/>
      </c>
      <c r="G1027" s="24" t="inlineStr">
        <is>
          <t>Real</t>
        </is>
      </c>
    </row>
    <row r="1028" ht="23.25" customHeight="1" s="19">
      <c r="A1028" s="24" t="n">
        <v>8367</v>
      </c>
      <c r="B1028" s="25" t="inlineStr">
        <is>
          <t>Personaliza tu Ecommerce: Mejora la Experiencia de Compra con Soluciones de Personalización</t>
        </is>
      </c>
      <c r="C1028" s="24" t="inlineStr">
        <is>
          <t>Desarrollo Web y E-Commerce</t>
        </is>
      </c>
      <c r="D1028" s="25" t="inlineStr">
        <is>
          <t>Personaliza tu Ecommerce: Mejora la Experiencia de Compra con Soluciones de Personalización</t>
        </is>
      </c>
      <c r="E1028" s="26" t="n">
        <v>3000</v>
      </c>
      <c r="F1028" s="27">
        <f>E1028/Config!$B$1</f>
        <v/>
      </c>
      <c r="G1028" s="28" t="inlineStr">
        <is>
          <t>Estimado (mediana de categoría)</t>
        </is>
      </c>
    </row>
    <row r="1029" ht="23.25" customHeight="1" s="19">
      <c r="A1029" s="24" t="n">
        <v>7526</v>
      </c>
      <c r="B1029" s="25" t="inlineStr">
        <is>
          <t>Personaliza tus interfaces: ¡Crea experiencias únicas y atractivas!</t>
        </is>
      </c>
      <c r="C1029" s="24" t="inlineStr">
        <is>
          <t>Desarrollo Web y E-Commerce</t>
        </is>
      </c>
      <c r="D1029" s="25" t="inlineStr">
        <is>
          <t>Personalización de Interfaces: La clave para experiencias digitales excepcionales</t>
        </is>
      </c>
      <c r="E1029" s="26" t="n">
        <v>400</v>
      </c>
      <c r="F1029" s="27">
        <f>E1029/Config!$B$1</f>
        <v/>
      </c>
      <c r="G1029" s="24" t="inlineStr">
        <is>
          <t>Real</t>
        </is>
      </c>
    </row>
    <row r="1030" ht="57" customHeight="1" s="19">
      <c r="A1030" s="24" t="n">
        <v>7549</v>
      </c>
      <c r="B1030" s="25" t="inlineStr">
        <is>
          <t>Personalización Avanzada: Crea Experiencias Únicas para Tus Clientes</t>
        </is>
      </c>
      <c r="C1030" s="24" t="inlineStr">
        <is>
          <t>Desarrollo Web y E-Commerce</t>
        </is>
      </c>
      <c r="D1030" s="25" t="inlineStr">
        <is>
          <t>Personalización Avanzada: Tu experiencia única. Crea un perfil personalizado, recibe recomendaciones adaptadas, ajusta la interfaz y recibe notificaciones relevantes para optimizar tus experiencias, ahorrar tiempo y aumentar la satisfacción.</t>
        </is>
      </c>
      <c r="E1030" s="26" t="n">
        <v>1000</v>
      </c>
      <c r="F1030" s="27">
        <f>E1030/Config!$B$1</f>
        <v/>
      </c>
      <c r="G1030" s="24" t="inlineStr">
        <is>
          <t>Real</t>
        </is>
      </c>
    </row>
    <row r="1031" ht="23.25" customHeight="1" s="19">
      <c r="A1031" s="24" t="n">
        <v>6639</v>
      </c>
      <c r="B1031" s="25" t="inlineStr">
        <is>
          <t>Personalización de Experiencia de Usuario</t>
        </is>
      </c>
      <c r="C1031" s="24" t="inlineStr">
        <is>
          <t>Desarrollo Web y E-Commerce</t>
        </is>
      </c>
      <c r="D1031" s="25" t="inlineStr">
        <is>
          <t>Personalización De La Experiencia De Usuario Basada En Datos.</t>
        </is>
      </c>
      <c r="E1031" s="26" t="n">
        <v>1000</v>
      </c>
      <c r="F1031" s="27">
        <f>E1031/Config!$B$1</f>
        <v/>
      </c>
      <c r="G1031" s="24" t="inlineStr">
        <is>
          <t>Real</t>
        </is>
      </c>
    </row>
    <row r="1032" ht="23.25" customHeight="1" s="19">
      <c r="A1032" s="24" t="n">
        <v>8340</v>
      </c>
      <c r="B1032" s="25" t="inlineStr">
        <is>
          <t>Personalización de Experiencia de Usuario</t>
        </is>
      </c>
      <c r="C1032" s="24" t="inlineStr">
        <is>
          <t>Desarrollo Web y E-Commerce</t>
        </is>
      </c>
      <c r="D1032" s="25" t="inlineStr">
        <is>
          <t>Personalización De La Experiencia De Usuario Basada En Datos.</t>
        </is>
      </c>
      <c r="E1032" s="26" t="n">
        <v>3000</v>
      </c>
      <c r="F1032" s="27">
        <f>E1032/Config!$B$1</f>
        <v/>
      </c>
      <c r="G1032" s="28" t="inlineStr">
        <is>
          <t>Estimado (mediana de categoría)</t>
        </is>
      </c>
    </row>
    <row r="1033" ht="124.5" customHeight="1" s="19">
      <c r="A1033" s="24" t="n">
        <v>7463</v>
      </c>
      <c r="B1033" s="25" t="inlineStr">
        <is>
          <t>Plan Básico Web: ¡Tu sitio web profesional al alcance de tu mano!</t>
        </is>
      </c>
      <c r="C1033" s="24" t="inlineStr">
        <is>
          <t>Desarrollo Web y E-Commerce</t>
        </is>
      </c>
      <c r="D1033" s="25" t="inlineStr">
        <is>
          <t>&lt;strong&gt;Plan Básico Web: Tu aliado para una presencia digital sólida&lt;/strong&gt;&lt;br&gt;&lt;br&gt;Características:&lt;br&gt;&lt;em&gt; Sitio web de una página&lt;br&gt;&lt;/em&gt; Dominio personalizado&lt;br&gt;&lt;em&gt; Diseño responsivo&lt;br&gt;&lt;/em&gt; Optimización SEO&lt;br&gt;&lt;em&gt; Soporte técnico&lt;br&gt;&lt;br&gt;Beneficios:&lt;br&gt;&lt;/em&gt; Establece una presencia en línea&lt;br&gt;&lt;em&gt; Mejora la credibilidad&lt;br&gt;&lt;/em&gt; Atrae nuevos clientes&lt;br&gt;&lt;em&gt; Aumenta las ventas&lt;br&gt;&lt;/em&gt; Mejora la comunicación</t>
        </is>
      </c>
      <c r="E1033" s="26" t="n">
        <v>3000</v>
      </c>
      <c r="F1033" s="27">
        <f>E1033/Config!$B$1</f>
        <v/>
      </c>
      <c r="G1033" s="28" t="inlineStr">
        <is>
          <t>Estimado (mediana de categoría)</t>
        </is>
      </c>
    </row>
    <row r="1034" ht="15" customHeight="1" s="19">
      <c r="A1034" s="24" t="n">
        <v>6268</v>
      </c>
      <c r="B1034" s="25" t="inlineStr">
        <is>
          <t>Plan Sitio web Institucional pagado cada 1 año</t>
        </is>
      </c>
      <c r="C1034" s="24" t="inlineStr">
        <is>
          <t>Desarrollo Web y E-Commerce</t>
        </is>
      </c>
      <c r="D1034" s="25" t="inlineStr">
        <is>
          <t>Plan Anual Sitio Web Institucional</t>
        </is>
      </c>
      <c r="E1034" s="26" t="n">
        <v>3000</v>
      </c>
      <c r="F1034" s="27">
        <f>E1034/Config!$B$1</f>
        <v/>
      </c>
      <c r="G1034" s="28" t="inlineStr">
        <is>
          <t>Estimado (mediana de categoría)</t>
        </is>
      </c>
    </row>
    <row r="1035" ht="15" customHeight="1" s="19">
      <c r="A1035" s="24" t="n">
        <v>6267</v>
      </c>
      <c r="B1035" s="25" t="inlineStr">
        <is>
          <t>Plan Sitio web Institucional pagado cada 1 mes</t>
        </is>
      </c>
      <c r="C1035" s="24" t="inlineStr">
        <is>
          <t>Desarrollo Web y E-Commerce</t>
        </is>
      </c>
      <c r="D1035" s="25" t="inlineStr">
        <is>
          <t>Plan Mensual Sitio Web Institucional</t>
        </is>
      </c>
      <c r="E1035" s="26" t="n">
        <v>3000</v>
      </c>
      <c r="F1035" s="27">
        <f>E1035/Config!$B$1</f>
        <v/>
      </c>
      <c r="G1035" s="28" t="inlineStr">
        <is>
          <t>Estimado (mediana de categoría)</t>
        </is>
      </c>
    </row>
    <row r="1036" ht="15" customHeight="1" s="19">
      <c r="A1036" s="24" t="n">
        <v>6266</v>
      </c>
      <c r="B1036" s="25" t="inlineStr">
        <is>
          <t>Plan Tienda Online Basico pagado cada 1 mes</t>
        </is>
      </c>
      <c r="C1036" s="24" t="inlineStr">
        <is>
          <t>Desarrollo Web y E-Commerce</t>
        </is>
      </c>
      <c r="D1036" s="25" t="inlineStr">
        <is>
          <t>Plan Mensual Tienda Online Básica</t>
        </is>
      </c>
      <c r="E1036" s="26" t="n">
        <v>99</v>
      </c>
      <c r="F1036" s="27">
        <f>E1036/Config!$B$1</f>
        <v/>
      </c>
      <c r="G1036" s="24" t="inlineStr">
        <is>
          <t>Real</t>
        </is>
      </c>
    </row>
    <row r="1037" ht="15" customHeight="1" s="19">
      <c r="A1037" s="24" t="n">
        <v>7988</v>
      </c>
      <c r="B1037" s="25" t="inlineStr">
        <is>
          <t>Plan Tienda Online Basico pagado cada 1 mes</t>
        </is>
      </c>
      <c r="C1037" s="24" t="inlineStr">
        <is>
          <t>Desarrollo Web y E-Commerce</t>
        </is>
      </c>
      <c r="D1037" s="25" t="inlineStr">
        <is>
          <t>Plan Mensual Tienda Online Básica</t>
        </is>
      </c>
      <c r="E1037" s="26" t="n">
        <v>3000</v>
      </c>
      <c r="F1037" s="27">
        <f>E1037/Config!$B$1</f>
        <v/>
      </c>
      <c r="G1037" s="28" t="inlineStr">
        <is>
          <t>Estimado (mediana de categoría)</t>
        </is>
      </c>
    </row>
    <row r="1038" ht="15" customHeight="1" s="19">
      <c r="A1038" s="24" t="n">
        <v>6279</v>
      </c>
      <c r="B1038" s="25" t="inlineStr">
        <is>
          <t>Plan Tienda Online Marketplace pagado cada 1 mes</t>
        </is>
      </c>
      <c r="C1038" s="24" t="inlineStr">
        <is>
          <t>Desarrollo Web y E-Commerce</t>
        </is>
      </c>
      <c r="D1038" s="25" t="inlineStr">
        <is>
          <t>Plan Mensual Tienda Online Marketplace</t>
        </is>
      </c>
      <c r="E1038" s="26" t="n">
        <v>249</v>
      </c>
      <c r="F1038" s="27">
        <f>E1038/Config!$B$1</f>
        <v/>
      </c>
      <c r="G1038" s="24" t="inlineStr">
        <is>
          <t>Real</t>
        </is>
      </c>
    </row>
    <row r="1039" ht="15" customHeight="1" s="19">
      <c r="A1039" s="24" t="n">
        <v>7992</v>
      </c>
      <c r="B1039" s="25" t="inlineStr">
        <is>
          <t>Plan Tienda Online Marketplace pagado cada 1 mes</t>
        </is>
      </c>
      <c r="C1039" s="24" t="inlineStr">
        <is>
          <t>Desarrollo Web y E-Commerce</t>
        </is>
      </c>
      <c r="D1039" s="25" t="inlineStr">
        <is>
          <t>Plan Mensual Tienda Online Marketplace</t>
        </is>
      </c>
      <c r="E1039" s="26" t="n">
        <v>3000</v>
      </c>
      <c r="F1039" s="27">
        <f>E1039/Config!$B$1</f>
        <v/>
      </c>
      <c r="G1039" s="28" t="inlineStr">
        <is>
          <t>Estimado (mediana de categoría)</t>
        </is>
      </c>
    </row>
    <row r="1040" ht="15" customHeight="1" s="19">
      <c r="A1040" s="24" t="n">
        <v>6270</v>
      </c>
      <c r="B1040" s="25" t="inlineStr">
        <is>
          <t>Plan Tienda Online Mayorista pagado cada 1 mes</t>
        </is>
      </c>
      <c r="C1040" s="24" t="inlineStr">
        <is>
          <t>Desarrollo Web y E-Commerce</t>
        </is>
      </c>
      <c r="D1040" s="25" t="inlineStr">
        <is>
          <t>Plan Mensual Tienda Online Mayorista</t>
        </is>
      </c>
      <c r="E1040" s="26" t="n">
        <v>199</v>
      </c>
      <c r="F1040" s="27">
        <f>E1040/Config!$B$1</f>
        <v/>
      </c>
      <c r="G1040" s="24" t="inlineStr">
        <is>
          <t>Real</t>
        </is>
      </c>
    </row>
    <row r="1041" ht="15" customHeight="1" s="19">
      <c r="A1041" s="24" t="n">
        <v>7990</v>
      </c>
      <c r="B1041" s="25" t="inlineStr">
        <is>
          <t>Plan Tienda Online Mayorista pagado cada 1 mes</t>
        </is>
      </c>
      <c r="C1041" s="24" t="inlineStr">
        <is>
          <t>Desarrollo Web y E-Commerce</t>
        </is>
      </c>
      <c r="D1041" s="25" t="inlineStr">
        <is>
          <t>Plan Mensual Tienda Online Mayorista</t>
        </is>
      </c>
      <c r="E1041" s="26" t="n">
        <v>3000</v>
      </c>
      <c r="F1041" s="27">
        <f>E1041/Config!$B$1</f>
        <v/>
      </c>
      <c r="G1041" s="28" t="inlineStr">
        <is>
          <t>Estimado (mediana de categoría)</t>
        </is>
      </c>
    </row>
    <row r="1042" ht="15" customHeight="1" s="19">
      <c r="A1042" s="24" t="n">
        <v>6269</v>
      </c>
      <c r="B1042" s="25" t="inlineStr">
        <is>
          <t>Plan Tienda Online Minorista pagado cada 1 mes</t>
        </is>
      </c>
      <c r="C1042" s="24" t="inlineStr">
        <is>
          <t>Desarrollo Web y E-Commerce</t>
        </is>
      </c>
      <c r="D1042" s="25" t="inlineStr">
        <is>
          <t>Plan Mensual Tienda Online Minorista</t>
        </is>
      </c>
      <c r="E1042" s="26" t="n">
        <v>149</v>
      </c>
      <c r="F1042" s="27">
        <f>E1042/Config!$B$1</f>
        <v/>
      </c>
      <c r="G1042" s="24" t="inlineStr">
        <is>
          <t>Real</t>
        </is>
      </c>
    </row>
    <row r="1043" ht="15" customHeight="1" s="19">
      <c r="A1043" s="24" t="n">
        <v>7989</v>
      </c>
      <c r="B1043" s="25" t="inlineStr">
        <is>
          <t>Plan Tienda Online Minorista pagado cada 1 mes</t>
        </is>
      </c>
      <c r="C1043" s="24" t="inlineStr">
        <is>
          <t>Desarrollo Web y E-Commerce</t>
        </is>
      </c>
      <c r="D1043" s="25" t="inlineStr">
        <is>
          <t>Plan Mensual Tienda Online Minorista</t>
        </is>
      </c>
      <c r="E1043" s="26" t="n">
        <v>3000</v>
      </c>
      <c r="F1043" s="27">
        <f>E1043/Config!$B$1</f>
        <v/>
      </c>
      <c r="G1043" s="28" t="inlineStr">
        <is>
          <t>Estimado (mediana de categoría)</t>
        </is>
      </c>
    </row>
    <row r="1044" ht="23.25" customHeight="1" s="19">
      <c r="A1044" s="24" t="n">
        <v>7466</v>
      </c>
      <c r="B1044" s="25" t="inlineStr">
        <is>
          <t>Plantillas prediseñadas: ¡Crea contenido impactante en minutos!</t>
        </is>
      </c>
      <c r="C1044" s="24" t="inlineStr">
        <is>
          <t>Desarrollo Web y E-Commerce</t>
        </is>
      </c>
      <c r="D1044" s="25" t="inlineStr">
        <is>
          <t>Plantillas predefinidas: la solución para optimizar tus proyectos</t>
        </is>
      </c>
      <c r="E1044" s="26" t="n">
        <v>3000</v>
      </c>
      <c r="F1044" s="27">
        <f>E1044/Config!$B$1</f>
        <v/>
      </c>
      <c r="G1044" s="28" t="inlineStr">
        <is>
          <t>Estimado (mediana de categoría)</t>
        </is>
      </c>
    </row>
    <row r="1045" ht="15" customHeight="1" s="19">
      <c r="A1045" s="24" t="n">
        <v>6933</v>
      </c>
      <c r="B1045" s="25" t="inlineStr">
        <is>
          <t>Plataforma E-Commerce Avanzada</t>
        </is>
      </c>
      <c r="C1045" s="24" t="inlineStr">
        <is>
          <t>Desarrollo Web y E-Commerce</t>
        </is>
      </c>
      <c r="D1045" s="25" t="inlineStr">
        <is>
          <t>Plataforma E-Commerce Avanzada</t>
        </is>
      </c>
      <c r="E1045" s="26" t="n">
        <v>9500</v>
      </c>
      <c r="F1045" s="27">
        <f>E1045/Config!$B$1</f>
        <v/>
      </c>
      <c r="G1045" s="24" t="inlineStr">
        <is>
          <t>Real</t>
        </is>
      </c>
    </row>
    <row r="1046" ht="15" customHeight="1" s="19">
      <c r="A1046" s="24" t="n">
        <v>7574</v>
      </c>
      <c r="B1046" s="25" t="inlineStr">
        <is>
          <t>Plataforma e-Commerce</t>
        </is>
      </c>
      <c r="C1046" s="24" t="inlineStr">
        <is>
          <t>Desarrollo Web y E-Commerce</t>
        </is>
      </c>
      <c r="D1046" s="25" t="inlineStr">
        <is>
          <t>Desarrollo De Tienda Online</t>
        </is>
      </c>
      <c r="E1046" s="26" t="n">
        <v>270</v>
      </c>
      <c r="F1046" s="27">
        <f>E1046/Config!$B$1</f>
        <v/>
      </c>
      <c r="G1046" s="24" t="inlineStr">
        <is>
          <t>Real</t>
        </is>
      </c>
    </row>
    <row r="1047" ht="15" customHeight="1" s="19">
      <c r="A1047" s="24" t="n">
        <v>7453</v>
      </c>
      <c r="B1047" s="25" t="inlineStr">
        <is>
          <t>Página Adicional</t>
        </is>
      </c>
      <c r="C1047" s="24" t="inlineStr">
        <is>
          <t>Desarrollo Web y E-Commerce</t>
        </is>
      </c>
      <c r="D1047" s="25" t="n"/>
      <c r="E1047" s="26" t="n">
        <v>3000</v>
      </c>
      <c r="F1047" s="27">
        <f>E1047/Config!$B$1</f>
        <v/>
      </c>
      <c r="G1047" s="28" t="inlineStr">
        <is>
          <t>Estimado (mediana de categoría)</t>
        </is>
      </c>
    </row>
    <row r="1048" ht="34.5" customHeight="1" s="19">
      <c r="A1048" s="24" t="n">
        <v>6547</v>
      </c>
      <c r="B1048" s="25" t="inlineStr">
        <is>
          <t>Rediseño de Tienda Online: Optimiza tu E-commerce para Impulsar las Ventas</t>
        </is>
      </c>
      <c r="C1048" s="24" t="inlineStr">
        <is>
          <t>Desarrollo Web y E-Commerce</t>
        </is>
      </c>
      <c r="D1048" s="25" t="inlineStr">
        <is>
          <t>Servicio de rediseño de tienda online para mejorar la experiencia del usuario, aumentar las conversiones y optimizar la presencia en línea.</t>
        </is>
      </c>
      <c r="E1048" s="26" t="n">
        <v>4000</v>
      </c>
      <c r="F1048" s="27">
        <f>E1048/Config!$B$1</f>
        <v/>
      </c>
      <c r="G1048" s="24" t="inlineStr">
        <is>
          <t>Real</t>
        </is>
      </c>
    </row>
    <row r="1049" ht="23.25" customHeight="1" s="19">
      <c r="A1049" s="24" t="n">
        <v>8249</v>
      </c>
      <c r="B1049" s="25" t="inlineStr">
        <is>
          <t>Rediseño de Tienda Online: Optimiza tu E-commerce para Impulsar las Ventas</t>
        </is>
      </c>
      <c r="C1049" s="24" t="inlineStr">
        <is>
          <t>Desarrollo Web y E-Commerce</t>
        </is>
      </c>
      <c r="D1049" s="25" t="inlineStr">
        <is>
          <t>Rediseño de Tienda Online: Optimiza tu E-commerce para Impulsar las Ventas</t>
        </is>
      </c>
      <c r="E1049" s="26" t="n">
        <v>3000</v>
      </c>
      <c r="F1049" s="27">
        <f>E1049/Config!$B$1</f>
        <v/>
      </c>
      <c r="G1049" s="28" t="inlineStr">
        <is>
          <t>Estimado (mediana de categoría)</t>
        </is>
      </c>
    </row>
    <row r="1050" ht="45.75" customHeight="1" s="19">
      <c r="A1050" s="24" t="n">
        <v>8270</v>
      </c>
      <c r="B1050" s="25" t="inlineStr">
        <is>
          <t>Servicio de Análisis de Datos de Ecommerce: Optimiza tu Tienda Online con Insights Valiosos</t>
        </is>
      </c>
      <c r="C1050" s="24" t="inlineStr">
        <is>
          <t>Desarrollo Web y E-Commerce</t>
        </is>
      </c>
      <c r="D1050" s="25" t="inlineStr">
        <is>
          <t>Servicio de Análisis de Datos de Ecommerce: Optimiza tu estrategia de negocio online con métricas esenciales, análisis de cohortes, segmentación avanzada y más.</t>
        </is>
      </c>
      <c r="E1050" s="26" t="n">
        <v>3000</v>
      </c>
      <c r="F1050" s="27">
        <f>E1050/Config!$B$1</f>
        <v/>
      </c>
      <c r="G1050" s="28" t="inlineStr">
        <is>
          <t>Estimado (mediana de categoría)</t>
        </is>
      </c>
    </row>
    <row r="1051" ht="45.75" customHeight="1" s="19">
      <c r="A1051" s="24" t="n">
        <v>6596</v>
      </c>
      <c r="B1051" s="25" t="inlineStr">
        <is>
          <t>Servicio de Desarrollo de Funcionalidad de Recomendación de Productos para Ecommerce: Aumenta tus Ventas y Mejora la Experiencia del Usuario</t>
        </is>
      </c>
      <c r="C1051" s="24" t="inlineStr">
        <is>
          <t>Desarrollo Web y E-Commerce</t>
        </is>
      </c>
      <c r="D1051" s="25" t="inlineStr">
        <is>
          <t>Servicio de Desarrollo de Funcionalidad de Recomendación de Productos para Ecommerce. Mejora la experiencia de compra, aumenta las conversiones y brinda información valiosa.</t>
        </is>
      </c>
      <c r="E1051" s="26" t="n">
        <v>7000</v>
      </c>
      <c r="F1051" s="27">
        <f>E1051/Config!$B$1</f>
        <v/>
      </c>
      <c r="G1051" s="24" t="inlineStr">
        <is>
          <t>Real</t>
        </is>
      </c>
    </row>
    <row r="1052" ht="45.75" customHeight="1" s="19">
      <c r="A1052" s="24" t="n">
        <v>8298</v>
      </c>
      <c r="B1052" s="25" t="inlineStr">
        <is>
          <t>Servicio de Desarrollo de Funcionalidad de Recomendación de Productos: Aumenta tus Ventas y Mejora la Experiencia del Usuario</t>
        </is>
      </c>
      <c r="C1052" s="24" t="inlineStr">
        <is>
          <t>Desarrollo Web y E-Commerce</t>
        </is>
      </c>
      <c r="D1052" s="25" t="inlineStr">
        <is>
          <t>Servicio de Desarrollo de Funcionalidad de Recomendación de Productos para Ecommerce: Mejora la experiencia de compra, aumenta las conversiones y brinda información valiosa.</t>
        </is>
      </c>
      <c r="E1052" s="26" t="n">
        <v>3000</v>
      </c>
      <c r="F1052" s="27">
        <f>E1052/Config!$B$1</f>
        <v/>
      </c>
      <c r="G1052" s="28" t="inlineStr">
        <is>
          <t>Estimado (mediana de categoría)</t>
        </is>
      </c>
    </row>
    <row r="1053" ht="34.5" customHeight="1" s="19">
      <c r="A1053" s="24" t="n">
        <v>6583</v>
      </c>
      <c r="B1053" s="25" t="inlineStr">
        <is>
          <t>Servicio de Desarrollo de Integraciones B2B para Ecommerce: Automatiza tus Ventas y Distribución</t>
        </is>
      </c>
      <c r="C1053" s="24" t="inlineStr">
        <is>
          <t>Desarrollo Web y E-Commerce</t>
        </is>
      </c>
      <c r="D1053" s="25" t="inlineStr">
        <is>
          <t>Servicio de Desarrollo de Integraciones B2B para E-commerce: Conecta tus sistemas, automatiza procesos y mejora la eficiencia de tu negocio.</t>
        </is>
      </c>
      <c r="E1053" s="26" t="n">
        <v>8500</v>
      </c>
      <c r="F1053" s="27">
        <f>E1053/Config!$B$1</f>
        <v/>
      </c>
      <c r="G1053" s="24" t="inlineStr">
        <is>
          <t>Real</t>
        </is>
      </c>
    </row>
    <row r="1054" ht="57" customHeight="1" s="19">
      <c r="A1054" s="24" t="n">
        <v>6587</v>
      </c>
      <c r="B1054" s="25" t="inlineStr">
        <is>
          <t>Servicio de Desarrollo de Soluciones de Fidelización para Ecommerce: Impulsa la Retención y el Valor del Cliente</t>
        </is>
      </c>
      <c r="C1054" s="24" t="inlineStr">
        <is>
          <t>Desarrollo Web y E-Commerce</t>
        </is>
      </c>
      <c r="D1054" s="25" t="inlineStr">
        <is>
          <t>Servicio de Desarrollo de Soluciones de Fidelización para Ecommerce. Crea y ejecuta programas de fidelización personalizados para impulsar la lealtad del cliente, aumentar las ventas y mejorar la rentabilidad.</t>
        </is>
      </c>
      <c r="E1054" s="26" t="n">
        <v>6000</v>
      </c>
      <c r="F1054" s="27">
        <f>E1054/Config!$B$1</f>
        <v/>
      </c>
      <c r="G1054" s="24" t="inlineStr">
        <is>
          <t>Real</t>
        </is>
      </c>
    </row>
    <row r="1055" ht="45.75" customHeight="1" s="19">
      <c r="A1055" s="24" t="n">
        <v>8289</v>
      </c>
      <c r="B1055" s="25" t="inlineStr">
        <is>
          <t>Servicio de Desarrollo de Soluciones de Fidelización para Ecommerce: Impulsa la Retención y el Valor del Cliente</t>
        </is>
      </c>
      <c r="C1055" s="24" t="inlineStr">
        <is>
          <t>Desarrollo Web y E-Commerce</t>
        </is>
      </c>
      <c r="D1055" s="25" t="inlineStr">
        <is>
          <t>Servicio de Desarrollo de Soluciones de Fidelización para Ecommerce: Personalizado, automatizado, integrado y analítico. Aumenta la lealtad del cliente, las ventas y la rentabilidad.</t>
        </is>
      </c>
      <c r="E1055" s="26" t="n">
        <v>3000</v>
      </c>
      <c r="F1055" s="27">
        <f>E1055/Config!$B$1</f>
        <v/>
      </c>
      <c r="G1055" s="28" t="inlineStr">
        <is>
          <t>Estimado (mediana de categoría)</t>
        </is>
      </c>
    </row>
    <row r="1056" ht="15" customHeight="1" s="19">
      <c r="A1056" s="24" t="n">
        <v>6661</v>
      </c>
      <c r="B1056" s="25" t="inlineStr">
        <is>
          <t>Servicio de Entrega y Logística Ecommerce</t>
        </is>
      </c>
      <c r="C1056" s="24" t="inlineStr">
        <is>
          <t>Desarrollo Web y E-Commerce</t>
        </is>
      </c>
      <c r="D1056" s="25" t="inlineStr">
        <is>
          <t>Servicios De Entrega Y Logística Para Ecommerce.</t>
        </is>
      </c>
      <c r="E1056" s="26" t="n">
        <v>1000</v>
      </c>
      <c r="F1056" s="27">
        <f>E1056/Config!$B$1</f>
        <v/>
      </c>
      <c r="G1056" s="24" t="inlineStr">
        <is>
          <t>Real</t>
        </is>
      </c>
    </row>
    <row r="1057" ht="23.25" customHeight="1" s="19">
      <c r="A1057" s="24" t="n">
        <v>8362</v>
      </c>
      <c r="B1057" s="25" t="inlineStr">
        <is>
          <t>Servicio de Entrega y Logística para Ecommerce: Integración, Seguimiento y Optimización</t>
        </is>
      </c>
      <c r="C1057" s="24" t="inlineStr">
        <is>
          <t>Desarrollo Web y E-Commerce</t>
        </is>
      </c>
      <c r="D1057" s="25" t="inlineStr">
        <is>
          <t>Servicio de Entrega y Logística para Ecommerce: Solución integral para tu negocio online.</t>
        </is>
      </c>
      <c r="E1057" s="26" t="n">
        <v>3000</v>
      </c>
      <c r="F1057" s="27">
        <f>E1057/Config!$B$1</f>
        <v/>
      </c>
      <c r="G1057" s="28" t="inlineStr">
        <is>
          <t>Estimado (mediana de categoría)</t>
        </is>
      </c>
    </row>
    <row r="1058" ht="15" customHeight="1" s="19">
      <c r="A1058" s="24" t="n">
        <v>6557</v>
      </c>
      <c r="B1058" s="25" t="inlineStr">
        <is>
          <t>Servicio de Envío y Logística</t>
        </is>
      </c>
      <c r="C1058" s="24" t="inlineStr">
        <is>
          <t>Desarrollo Web y E-Commerce</t>
        </is>
      </c>
      <c r="D1058" s="25" t="inlineStr">
        <is>
          <t>Servicio De Envío Y Logística Para Ecommerce.</t>
        </is>
      </c>
      <c r="E1058" s="26" t="n">
        <v>800</v>
      </c>
      <c r="F1058" s="27">
        <f>E1058/Config!$B$1</f>
        <v/>
      </c>
      <c r="G1058" s="24" t="inlineStr">
        <is>
          <t>Real</t>
        </is>
      </c>
    </row>
    <row r="1059" ht="34.5" customHeight="1" s="19">
      <c r="A1059" s="24" t="n">
        <v>8259</v>
      </c>
      <c r="B1059" s="25" t="inlineStr">
        <is>
          <t>Servicio de Envío y Logística: Integración y Optimización para Ecommerce</t>
        </is>
      </c>
      <c r="C1059" s="24" t="inlineStr">
        <is>
          <t>Desarrollo Web y E-Commerce</t>
        </is>
      </c>
      <c r="D1059" s="25" t="inlineStr">
        <is>
          <t>Servicio de Envío y Logística para E-commerce: Optimiza tus operaciones, ahorra dinero y mejora la experiencia del cliente.</t>
        </is>
      </c>
      <c r="E1059" s="26" t="n">
        <v>3000</v>
      </c>
      <c r="F1059" s="27">
        <f>E1059/Config!$B$1</f>
        <v/>
      </c>
      <c r="G1059" s="28" t="inlineStr">
        <is>
          <t>Estimado (mediana de categoría)</t>
        </is>
      </c>
    </row>
    <row r="1060" ht="23.25" customHeight="1" s="19">
      <c r="A1060" s="24" t="n">
        <v>6573</v>
      </c>
      <c r="B1060" s="25" t="inlineStr">
        <is>
          <t>Servicio de Estrategia de Precio y Promociones</t>
        </is>
      </c>
      <c r="C1060" s="24" t="inlineStr">
        <is>
          <t>Desarrollo Web y E-Commerce</t>
        </is>
      </c>
      <c r="D1060" s="25" t="inlineStr">
        <is>
          <t>Servicio De Estrategia De Precio Y Promociones Para Ecommerce.</t>
        </is>
      </c>
      <c r="E1060" s="26" t="n">
        <v>2500</v>
      </c>
      <c r="F1060" s="27">
        <f>E1060/Config!$B$1</f>
        <v/>
      </c>
      <c r="G1060" s="24" t="inlineStr">
        <is>
          <t>Real</t>
        </is>
      </c>
    </row>
    <row r="1061" ht="34.5" customHeight="1" s="19">
      <c r="A1061" s="24" t="n">
        <v>8275</v>
      </c>
      <c r="B1061" s="25" t="inlineStr">
        <is>
          <t>Servicio de Estrategia de Precios y Promociones: Optimiza tus ventas y rentabilidad en el E-commerce</t>
        </is>
      </c>
      <c r="C1061" s="24" t="inlineStr">
        <is>
          <t>Desarrollo Web y E-Commerce</t>
        </is>
      </c>
      <c r="D1061" s="25" t="inlineStr">
        <is>
          <t>Servicio de Estrategia de Precio y Promociones para Ecommerce: Optimiza tus precios y promociones para aumentar ventas y maximizar ingresos.</t>
        </is>
      </c>
      <c r="E1061" s="26" t="n">
        <v>3000</v>
      </c>
      <c r="F1061" s="27">
        <f>E1061/Config!$B$1</f>
        <v/>
      </c>
      <c r="G1061" s="28" t="inlineStr">
        <is>
          <t>Estimado (mediana de categoría)</t>
        </is>
      </c>
    </row>
    <row r="1062" ht="57" customHeight="1" s="19">
      <c r="A1062" s="24" t="n">
        <v>8276</v>
      </c>
      <c r="B1062" s="25" t="inlineStr">
        <is>
          <t>Servicio de Gestión de Contenidos y Copywriting para Ecommerce: Optimiza tu Tienda Online con Contenido Persuasivo y SEO</t>
        </is>
      </c>
      <c r="C1062" s="24" t="inlineStr">
        <is>
          <t>Desarrollo Web y E-Commerce</t>
        </is>
      </c>
      <c r="D1062" s="25" t="inlineStr">
        <is>
          <t>Servicio de Gestión de Contenidos y Copywriting para Ecommerce. Creamos contenido personalizado, optimizado para SEO, gestionamos redes sociales y analizamos resultados para aumentar ventas, mejorar la experiencia del cliente y posicionar tu marca.</t>
        </is>
      </c>
      <c r="E1062" s="26" t="n">
        <v>3000</v>
      </c>
      <c r="F1062" s="27">
        <f>E1062/Config!$B$1</f>
        <v/>
      </c>
      <c r="G1062" s="28" t="inlineStr">
        <is>
          <t>Estimado (mediana de categoría)</t>
        </is>
      </c>
    </row>
    <row r="1063" ht="23.25" customHeight="1" s="19">
      <c r="A1063" s="24" t="n">
        <v>6566</v>
      </c>
      <c r="B1063" s="25" t="inlineStr">
        <is>
          <t>Servicio de Gestión de Inventario y Logística</t>
        </is>
      </c>
      <c r="C1063" s="24" t="inlineStr">
        <is>
          <t>Desarrollo Web y E-Commerce</t>
        </is>
      </c>
      <c r="D1063" s="25" t="inlineStr">
        <is>
          <t>Servicio De Gestión De Inventario Y Logística Para Ecommerce.</t>
        </is>
      </c>
      <c r="E1063" s="26" t="n">
        <v>3500</v>
      </c>
      <c r="F1063" s="27">
        <f>E1063/Config!$B$1</f>
        <v/>
      </c>
      <c r="G1063" s="24" t="inlineStr">
        <is>
          <t>Real</t>
        </is>
      </c>
    </row>
    <row r="1064" ht="15" customHeight="1" s="19">
      <c r="A1064" s="24" t="n">
        <v>6570</v>
      </c>
      <c r="B1064" s="25" t="inlineStr">
        <is>
          <t>Servicio de Implementación de Comercio Electrónico</t>
        </is>
      </c>
      <c r="C1064" s="24" t="inlineStr">
        <is>
          <t>Desarrollo Web y E-Commerce</t>
        </is>
      </c>
      <c r="D1064" s="25" t="inlineStr">
        <is>
          <t>Servicio De Implementación De Ecommerce.</t>
        </is>
      </c>
      <c r="E1064" s="26" t="n">
        <v>6000</v>
      </c>
      <c r="F1064" s="27">
        <f>E1064/Config!$B$1</f>
        <v/>
      </c>
      <c r="G1064" s="24" t="inlineStr">
        <is>
          <t>Real</t>
        </is>
      </c>
    </row>
    <row r="1065" ht="34.5" customHeight="1" s="19">
      <c r="A1065" s="24" t="n">
        <v>8272</v>
      </c>
      <c r="B1065" s="25" t="inlineStr">
        <is>
          <t>Servicio de Implementación de Comercio Electrónico: Diseño, Desarrollo y Puesta en Marcha de Tiendas Online</t>
        </is>
      </c>
      <c r="C1065" s="24" t="inlineStr">
        <is>
          <t>Desarrollo Web y E-Commerce</t>
        </is>
      </c>
      <c r="D1065" s="25" t="inlineStr">
        <is>
          <t>Servicio de Implementación de Ecommerce: Tu puerta de entrada al éxito online.</t>
        </is>
      </c>
      <c r="E1065" s="26" t="n">
        <v>3000</v>
      </c>
      <c r="F1065" s="27">
        <f>E1065/Config!$B$1</f>
        <v/>
      </c>
      <c r="G1065" s="28" t="inlineStr">
        <is>
          <t>Estimado (mediana de categoría)</t>
        </is>
      </c>
    </row>
    <row r="1066" ht="23.25" customHeight="1" s="19">
      <c r="A1066" s="24" t="n">
        <v>6577</v>
      </c>
      <c r="B1066" s="25" t="inlineStr">
        <is>
          <t>Servicio de Implementación de Programas de Fidelización</t>
        </is>
      </c>
      <c r="C1066" s="24" t="inlineStr">
        <is>
          <t>Desarrollo Web y E-Commerce</t>
        </is>
      </c>
      <c r="D1066" s="25" t="inlineStr">
        <is>
          <t>Servicio De Implementación De Programas De Fidelización Para Ecommerce.</t>
        </is>
      </c>
      <c r="E1066" s="26" t="n">
        <v>2800</v>
      </c>
      <c r="F1066" s="27">
        <f>E1066/Config!$B$1</f>
        <v/>
      </c>
      <c r="G1066" s="24" t="inlineStr">
        <is>
          <t>Real</t>
        </is>
      </c>
    </row>
    <row r="1067" ht="45.75" customHeight="1" s="19">
      <c r="A1067" s="24" t="n">
        <v>8279</v>
      </c>
      <c r="B1067" s="25" t="inlineStr">
        <is>
          <t>Servicio de Implementación de Programas de Fidelización: ¡Potencia la Lealtad y las Recompras en tu Ecommerce!</t>
        </is>
      </c>
      <c r="C1067" s="24" t="inlineStr">
        <is>
          <t>Desarrollo Web y E-Commerce</t>
        </is>
      </c>
      <c r="D1067" s="25" t="inlineStr">
        <is>
          <t>Servicio de Implementación de Programas de Fidelización para Ecommerce. Creamos y ejecutamos estrategias personalizadas para fomentar la lealtad del cliente y aumentar las ventas.</t>
        </is>
      </c>
      <c r="E1067" s="26" t="n">
        <v>3000</v>
      </c>
      <c r="F1067" s="27">
        <f>E1067/Config!$B$1</f>
        <v/>
      </c>
      <c r="G1067" s="28" t="inlineStr">
        <is>
          <t>Estimado (mediana de categoría)</t>
        </is>
      </c>
    </row>
    <row r="1068" ht="23.25" customHeight="1" s="19">
      <c r="A1068" s="24" t="n">
        <v>6582</v>
      </c>
      <c r="B1068" s="25" t="inlineStr">
        <is>
          <t>Servicio de Implementación de Sistema de Recomendaciones Personalizadas</t>
        </is>
      </c>
      <c r="C1068" s="24" t="inlineStr">
        <is>
          <t>Desarrollo Web y E-Commerce</t>
        </is>
      </c>
      <c r="D1068" s="25" t="inlineStr">
        <is>
          <t>Servicio De Implementación De Sistema De Recomendaciones Personalizadas Para Ecommerce.</t>
        </is>
      </c>
      <c r="E1068" s="26" t="n">
        <v>5000</v>
      </c>
      <c r="F1068" s="27">
        <f>E1068/Config!$B$1</f>
        <v/>
      </c>
      <c r="G1068" s="24" t="inlineStr">
        <is>
          <t>Real</t>
        </is>
      </c>
    </row>
    <row r="1069" ht="23.25" customHeight="1" s="19">
      <c r="A1069" s="24" t="n">
        <v>6595</v>
      </c>
      <c r="B1069" s="25" t="inlineStr">
        <is>
          <t>Servicio de Implementación de Solución de Pagos</t>
        </is>
      </c>
      <c r="C1069" s="24" t="inlineStr">
        <is>
          <t>Desarrollo Web y E-Commerce</t>
        </is>
      </c>
      <c r="D1069" s="25" t="inlineStr">
        <is>
          <t>Servicio De Implementación De Solución De Pagos Para Ecommerce.</t>
        </is>
      </c>
      <c r="E1069" s="26" t="n">
        <v>4000</v>
      </c>
      <c r="F1069" s="27">
        <f>E1069/Config!$B$1</f>
        <v/>
      </c>
      <c r="G1069" s="24" t="inlineStr">
        <is>
          <t>Real</t>
        </is>
      </c>
    </row>
    <row r="1070" ht="34.5" customHeight="1" s="19">
      <c r="A1070" s="24" t="n">
        <v>8285</v>
      </c>
      <c r="B1070" s="25" t="inlineStr">
        <is>
          <t>Servicio de Integraciones B2B para E-commerce: Automatiza tus Ventas y Distribución</t>
        </is>
      </c>
      <c r="C1070" s="24" t="inlineStr">
        <is>
          <t>Desarrollo Web y E-Commerce</t>
        </is>
      </c>
      <c r="D1070" s="25" t="inlineStr">
        <is>
          <t>Servicio de Desarrollo de Integraciones B2B para E-commerce: Conecta tus sistemas, automatiza procesos y mejora la eficiencia de tu negocio.</t>
        </is>
      </c>
      <c r="E1070" s="26" t="n">
        <v>3000</v>
      </c>
      <c r="F1070" s="27">
        <f>E1070/Config!$B$1</f>
        <v/>
      </c>
      <c r="G1070" s="28" t="inlineStr">
        <is>
          <t>Estimado (mediana de categoría)</t>
        </is>
      </c>
    </row>
    <row r="1071" ht="23.25" customHeight="1" s="19">
      <c r="A1071" s="24" t="n">
        <v>6572</v>
      </c>
      <c r="B1071" s="25" t="inlineStr">
        <is>
          <t>Servicio de Integración de Ecommerce con Marketplaces</t>
        </is>
      </c>
      <c r="C1071" s="24" t="inlineStr">
        <is>
          <t>Desarrollo Web y E-Commerce</t>
        </is>
      </c>
      <c r="D1071" s="25" t="inlineStr">
        <is>
          <t>Servicio De Integración De Ecommerce Con Marketplaces.</t>
        </is>
      </c>
      <c r="E1071" s="26" t="n">
        <v>3000</v>
      </c>
      <c r="F1071" s="27">
        <f>E1071/Config!$B$1</f>
        <v/>
      </c>
      <c r="G1071" s="24" t="inlineStr">
        <is>
          <t>Real</t>
        </is>
      </c>
    </row>
    <row r="1072" ht="23.25" customHeight="1" s="19">
      <c r="A1072" s="24" t="n">
        <v>6591</v>
      </c>
      <c r="B1072" s="25" t="inlineStr">
        <is>
          <t>Servicio de Integración de Marketplace</t>
        </is>
      </c>
      <c r="C1072" s="24" t="inlineStr">
        <is>
          <t>Desarrollo Web y E-Commerce</t>
        </is>
      </c>
      <c r="D1072" s="25" t="inlineStr">
        <is>
          <t>Servicio De Integración De Ecommerce Con Marketplace.</t>
        </is>
      </c>
      <c r="E1072" s="26" t="n">
        <v>6500</v>
      </c>
      <c r="F1072" s="27">
        <f>E1072/Config!$B$1</f>
        <v/>
      </c>
      <c r="G1072" s="24" t="inlineStr">
        <is>
          <t>Real</t>
        </is>
      </c>
    </row>
    <row r="1073" ht="23.25" customHeight="1" s="19">
      <c r="A1073" s="24" t="n">
        <v>6567</v>
      </c>
      <c r="B1073" s="25" t="inlineStr">
        <is>
          <t>Servicio de Integración de Pasarelas de Pago</t>
        </is>
      </c>
      <c r="C1073" s="24" t="inlineStr">
        <is>
          <t>Desarrollo Web y E-Commerce</t>
        </is>
      </c>
      <c r="D1073" s="25" t="inlineStr">
        <is>
          <t>Servicio De Integración De Pasarelas De Pago Para Ecommerce.</t>
        </is>
      </c>
      <c r="E1073" s="26" t="n">
        <v>1200</v>
      </c>
      <c r="F1073" s="27">
        <f>E1073/Config!$B$1</f>
        <v/>
      </c>
      <c r="G1073" s="24" t="inlineStr">
        <is>
          <t>Real</t>
        </is>
      </c>
    </row>
    <row r="1074" ht="23.25" customHeight="1" s="19">
      <c r="A1074" s="24" t="n">
        <v>6581</v>
      </c>
      <c r="B1074" s="25" t="inlineStr">
        <is>
          <t>Servicio de Mejora de Experiencia de Usuario (UX) para Ecommerce</t>
        </is>
      </c>
      <c r="C1074" s="24" t="inlineStr">
        <is>
          <t>Desarrollo Web y E-Commerce</t>
        </is>
      </c>
      <c r="D1074" s="25" t="inlineStr">
        <is>
          <t>Servicio De Mejora De Experiencia De Usuario (Ux) Para Ecommerce.</t>
        </is>
      </c>
      <c r="E1074" s="26" t="n">
        <v>4500</v>
      </c>
      <c r="F1074" s="27">
        <f>E1074/Config!$B$1</f>
        <v/>
      </c>
      <c r="G1074" s="24" t="inlineStr">
        <is>
          <t>Real</t>
        </is>
      </c>
    </row>
    <row r="1075" ht="23.25" customHeight="1" s="19">
      <c r="A1075" s="24" t="n">
        <v>6549</v>
      </c>
      <c r="B1075" s="25" t="inlineStr">
        <is>
          <t>Servicio de Membresías</t>
        </is>
      </c>
      <c r="C1075" s="24" t="inlineStr">
        <is>
          <t>Desarrollo Web y E-Commerce</t>
        </is>
      </c>
      <c r="D1075" s="25" t="inlineStr">
        <is>
          <t>Servicio De Implementación De Membresías Para Ecommerce.</t>
        </is>
      </c>
      <c r="E1075" s="26" t="n">
        <v>2500</v>
      </c>
      <c r="F1075" s="27">
        <f>E1075/Config!$B$1</f>
        <v/>
      </c>
      <c r="G1075" s="24" t="inlineStr">
        <is>
          <t>Real</t>
        </is>
      </c>
    </row>
    <row r="1076" ht="45.75" customHeight="1" s="19">
      <c r="A1076" s="24" t="n">
        <v>8251</v>
      </c>
      <c r="B1076" s="25" t="inlineStr">
        <is>
          <t>Servicio de Membresías: Implementa un Programa de Fidelización para tu Ecommerce</t>
        </is>
      </c>
      <c r="C1076" s="24" t="inlineStr">
        <is>
          <t>Desarrollo Web y E-Commerce</t>
        </is>
      </c>
      <c r="D1076" s="25" t="inlineStr">
        <is>
          <t>Servicio de implementación de membresías para e-commerce que permite crear y gestionar niveles de membresía, automatizar procesos, integrarse con plataformas de e-commerce y analizar el rendimiento.</t>
        </is>
      </c>
      <c r="E1076" s="26" t="n">
        <v>3000</v>
      </c>
      <c r="F1076" s="27">
        <f>E1076/Config!$B$1</f>
        <v/>
      </c>
      <c r="G1076" s="28" t="inlineStr">
        <is>
          <t>Estimado (mediana de categoría)</t>
        </is>
      </c>
    </row>
    <row r="1077" ht="15" customHeight="1" s="19">
      <c r="A1077" s="24" t="n">
        <v>6571</v>
      </c>
      <c r="B1077" s="25" t="inlineStr">
        <is>
          <t>Servicio de Migración de Plataforma de Ecommerce</t>
        </is>
      </c>
      <c r="C1077" s="24" t="inlineStr">
        <is>
          <t>Desarrollo Web y E-Commerce</t>
        </is>
      </c>
      <c r="D1077" s="25" t="inlineStr">
        <is>
          <t>Servicio De Migración De Plataforma De Ecommerce.</t>
        </is>
      </c>
      <c r="E1077" s="26" t="n">
        <v>4000</v>
      </c>
      <c r="F1077" s="27">
        <f>E1077/Config!$B$1</f>
        <v/>
      </c>
      <c r="G1077" s="24" t="inlineStr">
        <is>
          <t>Real</t>
        </is>
      </c>
    </row>
    <row r="1078" ht="23.25" customHeight="1" s="19">
      <c r="A1078" s="24" t="n">
        <v>6584</v>
      </c>
      <c r="B1078" s="25" t="inlineStr">
        <is>
          <t>Servicio de Migración y Actualización de Plataforma Ecommerce</t>
        </is>
      </c>
      <c r="C1078" s="24" t="inlineStr">
        <is>
          <t>Desarrollo Web y E-Commerce</t>
        </is>
      </c>
      <c r="D1078" s="25" t="inlineStr">
        <is>
          <t>Servicio De Migración Y Actualización De Plataforma Ecommerce.</t>
        </is>
      </c>
      <c r="E1078" s="26" t="n">
        <v>12000</v>
      </c>
      <c r="F1078" s="27">
        <f>E1078/Config!$B$1</f>
        <v/>
      </c>
      <c r="G1078" s="24" t="inlineStr">
        <is>
          <t>Real</t>
        </is>
      </c>
    </row>
    <row r="1079" ht="23.25" customHeight="1" s="19">
      <c r="A1079" s="24" t="n">
        <v>6592</v>
      </c>
      <c r="B1079" s="25" t="inlineStr">
        <is>
          <t>Servicio de Optimización de Búsqueda Interna</t>
        </is>
      </c>
      <c r="C1079" s="24" t="inlineStr">
        <is>
          <t>Desarrollo Web y E-Commerce</t>
        </is>
      </c>
      <c r="D1079" s="25" t="inlineStr">
        <is>
          <t>Servicio De Optimización De La Búsqueda Interna En Ecommerce.</t>
        </is>
      </c>
      <c r="E1079" s="26" t="n">
        <v>3800</v>
      </c>
      <c r="F1079" s="27">
        <f>E1079/Config!$B$1</f>
        <v/>
      </c>
      <c r="G1079" s="24" t="inlineStr">
        <is>
          <t>Real</t>
        </is>
      </c>
    </row>
    <row r="1080" ht="23.25" customHeight="1" s="19">
      <c r="A1080" s="24" t="n">
        <v>6569</v>
      </c>
      <c r="B1080" s="25" t="inlineStr">
        <is>
          <t>Servicio de Optimización de Experiencia de Usuario</t>
        </is>
      </c>
      <c r="C1080" s="24" t="inlineStr">
        <is>
          <t>Desarrollo Web y E-Commerce</t>
        </is>
      </c>
      <c r="D1080" s="25" t="inlineStr">
        <is>
          <t>Servicio De Optimización De Experiencia De Usuario Para Ecommerce.</t>
        </is>
      </c>
      <c r="E1080" s="26" t="n">
        <v>3000</v>
      </c>
      <c r="F1080" s="27">
        <f>E1080/Config!$B$1</f>
        <v/>
      </c>
      <c r="G1080" s="24" t="inlineStr">
        <is>
          <t>Real</t>
        </is>
      </c>
    </row>
    <row r="1081" ht="45.75" customHeight="1" s="19">
      <c r="A1081" s="24" t="n">
        <v>8271</v>
      </c>
      <c r="B1081" s="25" t="inlineStr">
        <is>
          <t>Servicio de Optimización de Experiencia de Usuario para Ecommerce: Mejora la UX, Aumenta las Conversiones</t>
        </is>
      </c>
      <c r="C1081" s="24" t="inlineStr">
        <is>
          <t>Desarrollo Web y E-Commerce</t>
        </is>
      </c>
      <c r="D1081" s="25" t="inlineStr">
        <is>
          <t>Servicio de Optimización de Experiencia de Usuario para E-commerce: Mejora la experiencia de tus clientes, aumenta las conversiones y fideliza a tus usuarios.</t>
        </is>
      </c>
      <c r="E1081" s="26" t="n">
        <v>3000</v>
      </c>
      <c r="F1081" s="27">
        <f>E1081/Config!$B$1</f>
        <v/>
      </c>
      <c r="G1081" s="28" t="inlineStr">
        <is>
          <t>Estimado (mediana de categoría)</t>
        </is>
      </c>
    </row>
    <row r="1082" ht="23.25" customHeight="1" s="19">
      <c r="A1082" s="24" t="n">
        <v>6585</v>
      </c>
      <c r="B1082" s="25" t="inlineStr">
        <is>
          <t>Servicio de Optimización de Funnels de Conversión</t>
        </is>
      </c>
      <c r="C1082" s="24" t="inlineStr">
        <is>
          <t>Desarrollo Web y E-Commerce</t>
        </is>
      </c>
      <c r="D1082" s="25" t="inlineStr">
        <is>
          <t>Servicio De Optimización De Funnels De Conversión Para Ecommerce.</t>
        </is>
      </c>
      <c r="E1082" s="26" t="n">
        <v>4000</v>
      </c>
      <c r="F1082" s="27">
        <f>E1082/Config!$B$1</f>
        <v/>
      </c>
      <c r="G1082" s="24" t="inlineStr">
        <is>
          <t>Real</t>
        </is>
      </c>
    </row>
    <row r="1083" ht="15" customHeight="1" s="19">
      <c r="A1083" s="24" t="n">
        <v>6666</v>
      </c>
      <c r="B1083" s="25" t="inlineStr">
        <is>
          <t>Servicio de Personalización Ecommerce</t>
        </is>
      </c>
      <c r="C1083" s="24" t="inlineStr">
        <is>
          <t>Desarrollo Web y E-Commerce</t>
        </is>
      </c>
      <c r="D1083" s="25" t="inlineStr">
        <is>
          <t>Soluciones De Personalización Para Ecommerce.</t>
        </is>
      </c>
      <c r="E1083" s="26" t="n">
        <v>1200</v>
      </c>
      <c r="F1083" s="27">
        <f>E1083/Config!$B$1</f>
        <v/>
      </c>
      <c r="G1083" s="24" t="inlineStr">
        <is>
          <t>Real</t>
        </is>
      </c>
    </row>
    <row r="1084" ht="15" customHeight="1" s="19">
      <c r="A1084" s="24" t="n">
        <v>6984</v>
      </c>
      <c r="B1084" s="25" t="inlineStr">
        <is>
          <t>Servicio de Soporte para Tiendas Online</t>
        </is>
      </c>
      <c r="C1084" s="24" t="inlineStr">
        <is>
          <t>Desarrollo Web y E-Commerce</t>
        </is>
      </c>
      <c r="D1084" s="25" t="inlineStr">
        <is>
          <t>Soporte Para Tiendas Online</t>
        </is>
      </c>
      <c r="E1084" s="26" t="n">
        <v>1400</v>
      </c>
      <c r="F1084" s="27">
        <f>E1084/Config!$B$1</f>
        <v/>
      </c>
      <c r="G1084" s="24" t="inlineStr">
        <is>
          <t>Real</t>
        </is>
      </c>
    </row>
    <row r="1085" ht="23.25" customHeight="1" s="19">
      <c r="A1085" s="24" t="n">
        <v>6548</v>
      </c>
      <c r="B1085" s="25" t="inlineStr">
        <is>
          <t>Servicio de Suscripciones</t>
        </is>
      </c>
      <c r="C1085" s="24" t="inlineStr">
        <is>
          <t>Desarrollo Web y E-Commerce</t>
        </is>
      </c>
      <c r="D1085" s="25" t="inlineStr">
        <is>
          <t>Servicio De Implementación De Suscripciones Para Ecommerce.</t>
        </is>
      </c>
      <c r="E1085" s="26" t="n">
        <v>2000</v>
      </c>
      <c r="F1085" s="27">
        <f>E1085/Config!$B$1</f>
        <v/>
      </c>
      <c r="G1085" s="24" t="inlineStr">
        <is>
          <t>Real</t>
        </is>
      </c>
    </row>
    <row r="1086" ht="113.25" customHeight="1" s="19">
      <c r="A1086" s="24" t="n">
        <v>8250</v>
      </c>
      <c r="B1086" s="25" t="inlineStr">
        <is>
          <t>Servicio de Suscripciones: Implementa un Modelo de Negocio Recurrente para tu Ecommerce</t>
        </is>
      </c>
      <c r="C1086" s="24" t="inlineStr">
        <is>
          <t>Desarrollo Web y E-Commerce</t>
        </is>
      </c>
      <c r="D1086" s="25" t="inlineStr">
        <is>
          <t>Servicio de implementación de suscripciones para e-commerce que ofrece:&lt;br&gt;&lt;br&gt;&lt;em&gt; Integración perfecta&lt;br&gt;&lt;/em&gt; Gestión de suscripciones&lt;br&gt;&lt;em&gt; Personalización&lt;br&gt;&lt;/em&gt; Automatización&lt;br&gt;&lt;em&gt; Análisis avanzado&lt;br&gt;&lt;br&gt;Beneficios:&lt;br&gt;&lt;br&gt;&lt;/em&gt; Ingresos recurrentes&lt;br&gt;&lt;em&gt; Fidelidad del cliente&lt;br&gt;&lt;/em&gt; Reducción de costos&lt;br&gt;&lt;em&gt; Venta cruzada y venta adicional&lt;br&gt;&lt;/em&gt; Ventaja competitiva</t>
        </is>
      </c>
      <c r="E1086" s="26" t="n">
        <v>3000</v>
      </c>
      <c r="F1086" s="27">
        <f>E1086/Config!$B$1</f>
        <v/>
      </c>
      <c r="G1086" s="28" t="inlineStr">
        <is>
          <t>Estimado (mediana de categoría)</t>
        </is>
      </c>
    </row>
    <row r="1087" ht="15" customHeight="1" s="19">
      <c r="A1087" s="24" t="n">
        <v>6833</v>
      </c>
      <c r="B1087" s="25" t="inlineStr">
        <is>
          <t>Servicios Web</t>
        </is>
      </c>
      <c r="C1087" s="24" t="inlineStr">
        <is>
          <t>Desarrollo Web y E-Commerce</t>
        </is>
      </c>
      <c r="D1087" s="25" t="inlineStr">
        <is>
          <t>Diseño Web</t>
        </is>
      </c>
      <c r="E1087" s="26" t="n">
        <v>1200</v>
      </c>
      <c r="F1087" s="27">
        <f>E1087/Config!$B$1</f>
        <v/>
      </c>
      <c r="G1087" s="24" t="inlineStr">
        <is>
          <t>Real</t>
        </is>
      </c>
    </row>
    <row r="1088" ht="23.25" customHeight="1" s="19">
      <c r="A1088" s="24" t="n">
        <v>6032</v>
      </c>
      <c r="B1088" s="25" t="inlineStr">
        <is>
          <t>Servicios de Desarrollo de Aplicaciones Web y Móviles con Blockchain</t>
        </is>
      </c>
      <c r="C1088" s="24" t="inlineStr">
        <is>
          <t>Desarrollo Web y E-Commerce</t>
        </is>
      </c>
      <c r="D1088" s="25" t="inlineStr">
        <is>
          <t>Aplicaciones Con Blockchain Y Criptomonedas</t>
        </is>
      </c>
      <c r="E1088" s="26" t="n">
        <v>13000</v>
      </c>
      <c r="F1088" s="27">
        <f>E1088/Config!$B$1</f>
        <v/>
      </c>
      <c r="G1088" s="24" t="inlineStr">
        <is>
          <t>Real</t>
        </is>
      </c>
    </row>
    <row r="1089" ht="23.25" customHeight="1" s="19">
      <c r="A1089" s="24" t="n">
        <v>7778</v>
      </c>
      <c r="B1089" s="25" t="inlineStr">
        <is>
          <t>Servicios de Desarrollo de Aplicaciones Web y Móviles con Blockchain</t>
        </is>
      </c>
      <c r="C1089" s="24" t="inlineStr">
        <is>
          <t>Desarrollo Web y E-Commerce</t>
        </is>
      </c>
      <c r="D1089" s="25" t="inlineStr">
        <is>
          <t>Aplicaciones Con Blockchain Y Criptomonedas</t>
        </is>
      </c>
      <c r="E1089" s="26" t="n">
        <v>3000</v>
      </c>
      <c r="F1089" s="27">
        <f>E1089/Config!$B$1</f>
        <v/>
      </c>
      <c r="G1089" s="28" t="inlineStr">
        <is>
          <t>Estimado (mediana de categoría)</t>
        </is>
      </c>
    </row>
    <row r="1090" ht="23.25" customHeight="1" s="19">
      <c r="A1090" s="24" t="n">
        <v>5947</v>
      </c>
      <c r="B1090" s="25" t="inlineStr">
        <is>
          <t>Servicios de Desarrollo de Aplicaciones con Arquitecturas de Microservicios y Contenedores</t>
        </is>
      </c>
      <c r="C1090" s="24" t="inlineStr">
        <is>
          <t>Desarrollo Web y E-Commerce</t>
        </is>
      </c>
      <c r="D1090" s="25" t="inlineStr">
        <is>
          <t>Desarrollo De Aplicaciones Con Microservicios</t>
        </is>
      </c>
      <c r="E1090" s="26" t="n">
        <v>6000</v>
      </c>
      <c r="F1090" s="27">
        <f>E1090/Config!$B$1</f>
        <v/>
      </c>
      <c r="G1090" s="24" t="inlineStr">
        <is>
          <t>Real</t>
        </is>
      </c>
    </row>
    <row r="1091" ht="23.25" customHeight="1" s="19">
      <c r="A1091" s="24" t="n">
        <v>7729</v>
      </c>
      <c r="B1091" s="25" t="inlineStr">
        <is>
          <t>Servicios de Desarrollo de Aplicaciones con Arquitecturas de Microservicios y Contenedores</t>
        </is>
      </c>
      <c r="C1091" s="24" t="inlineStr">
        <is>
          <t>Desarrollo Web y E-Commerce</t>
        </is>
      </c>
      <c r="D1091" s="25" t="inlineStr">
        <is>
          <t>Desarrollo De Aplicaciones Con Microservicios</t>
        </is>
      </c>
      <c r="E1091" s="26" t="n">
        <v>3000</v>
      </c>
      <c r="F1091" s="27">
        <f>E1091/Config!$B$1</f>
        <v/>
      </c>
      <c r="G1091" s="28" t="inlineStr">
        <is>
          <t>Estimado (mediana de categoría)</t>
        </is>
      </c>
    </row>
    <row r="1092" ht="23.25" customHeight="1" s="19">
      <c r="A1092" s="24" t="n">
        <v>5871</v>
      </c>
      <c r="B1092" s="25" t="inlineStr">
        <is>
          <t>Servicios de Diseño y Desarrollo de Interfaces de Usuario</t>
        </is>
      </c>
      <c r="C1092" s="24" t="inlineStr">
        <is>
          <t>Desarrollo Web y E-Commerce</t>
        </is>
      </c>
      <c r="D1092" s="25" t="inlineStr">
        <is>
          <t>Diseño Y Desarrollo De Ui/Ux</t>
        </is>
      </c>
      <c r="E1092" s="26" t="n">
        <v>4500</v>
      </c>
      <c r="F1092" s="27">
        <f>E1092/Config!$B$1</f>
        <v/>
      </c>
      <c r="G1092" s="24" t="inlineStr">
        <is>
          <t>Real</t>
        </is>
      </c>
    </row>
    <row r="1093" ht="23.25" customHeight="1" s="19">
      <c r="A1093" s="24" t="n">
        <v>7653</v>
      </c>
      <c r="B1093" s="25" t="inlineStr">
        <is>
          <t>Servicios de Diseño y Desarrollo de Interfaces de Usuario</t>
        </is>
      </c>
      <c r="C1093" s="24" t="inlineStr">
        <is>
          <t>Desarrollo Web y E-Commerce</t>
        </is>
      </c>
      <c r="D1093" s="25" t="inlineStr">
        <is>
          <t>Diseño Y Desarrollo De Ui/Ux</t>
        </is>
      </c>
      <c r="E1093" s="26" t="n">
        <v>3000</v>
      </c>
      <c r="F1093" s="27">
        <f>E1093/Config!$B$1</f>
        <v/>
      </c>
      <c r="G1093" s="28" t="inlineStr">
        <is>
          <t>Estimado (mediana de categoría)</t>
        </is>
      </c>
    </row>
    <row r="1094" ht="23.25" customHeight="1" s="19">
      <c r="A1094" s="24" t="n">
        <v>5938</v>
      </c>
      <c r="B1094" s="25" t="inlineStr">
        <is>
          <t>Servicios de Diseño y Desarrollo de Interfaces de Usuario (UI) y Experiencia de Usuario (UX)</t>
        </is>
      </c>
      <c r="C1094" s="24" t="inlineStr">
        <is>
          <t>Desarrollo Web y E-Commerce</t>
        </is>
      </c>
      <c r="D1094" s="25" t="inlineStr">
        <is>
          <t>Diseño Y Desarrollo De Ui/Ux</t>
        </is>
      </c>
      <c r="E1094" s="26" t="n">
        <v>7000</v>
      </c>
      <c r="F1094" s="27">
        <f>E1094/Config!$B$1</f>
        <v/>
      </c>
      <c r="G1094" s="24" t="inlineStr">
        <is>
          <t>Real</t>
        </is>
      </c>
    </row>
    <row r="1095" ht="23.25" customHeight="1" s="19">
      <c r="A1095" s="24" t="n">
        <v>7720</v>
      </c>
      <c r="B1095" s="25" t="inlineStr">
        <is>
          <t>Servicios de Diseño y Desarrollo de Interfaces de Usuario (UI) y Experiencia de Usuario (UX)</t>
        </is>
      </c>
      <c r="C1095" s="24" t="inlineStr">
        <is>
          <t>Desarrollo Web y E-Commerce</t>
        </is>
      </c>
      <c r="D1095" s="25" t="inlineStr">
        <is>
          <t>Diseño Y Desarrollo De Ui/Ux</t>
        </is>
      </c>
      <c r="E1095" s="26" t="n">
        <v>3000</v>
      </c>
      <c r="F1095" s="27">
        <f>E1095/Config!$B$1</f>
        <v/>
      </c>
      <c r="G1095" s="28" t="inlineStr">
        <is>
          <t>Estimado (mediana de categoría)</t>
        </is>
      </c>
    </row>
    <row r="1096" ht="23.25" customHeight="1" s="19">
      <c r="A1096" s="24" t="n">
        <v>6672</v>
      </c>
      <c r="B1096" s="25" t="inlineStr">
        <is>
          <t>Servicios de Fidelización de Clientes Ecommerce</t>
        </is>
      </c>
      <c r="C1096" s="24" t="inlineStr">
        <is>
          <t>Desarrollo Web y E-Commerce</t>
        </is>
      </c>
      <c r="D1096" s="25" t="inlineStr">
        <is>
          <t>Soluciones De Fidelización De Clientes Para Ecommerce.</t>
        </is>
      </c>
      <c r="E1096" s="26" t="n">
        <v>1200</v>
      </c>
      <c r="F1096" s="27">
        <f>E1096/Config!$B$1</f>
        <v/>
      </c>
      <c r="G1096" s="24" t="inlineStr">
        <is>
          <t>Real</t>
        </is>
      </c>
    </row>
    <row r="1097" ht="23.25" customHeight="1" s="19">
      <c r="A1097" s="24" t="n">
        <v>6698</v>
      </c>
      <c r="B1097" s="25" t="inlineStr">
        <is>
          <t>Servicios de Gestión de Catálogo Ecommerce</t>
        </is>
      </c>
      <c r="C1097" s="24" t="inlineStr">
        <is>
          <t>Desarrollo Web y E-Commerce</t>
        </is>
      </c>
      <c r="D1097" s="25" t="inlineStr">
        <is>
          <t>Soluciones De Gestión De Catálogo Para Ecommerce.</t>
        </is>
      </c>
      <c r="E1097" s="26" t="n">
        <v>1800</v>
      </c>
      <c r="F1097" s="27">
        <f>E1097/Config!$B$1</f>
        <v/>
      </c>
      <c r="G1097" s="24" t="inlineStr">
        <is>
          <t>Real</t>
        </is>
      </c>
    </row>
    <row r="1098" ht="45.75" customHeight="1" s="19">
      <c r="A1098" s="24" t="n">
        <v>8399</v>
      </c>
      <c r="B1098" s="25" t="inlineStr">
        <is>
          <t>Servicios de Gestión de Catálogo para Ecommerce: Optimizá tu Tienda Virtual</t>
        </is>
      </c>
      <c r="C1098" s="24" t="inlineStr">
        <is>
          <t>Desarrollo Web y E-Commerce</t>
        </is>
      </c>
      <c r="D1098" s="25" t="inlineStr">
        <is>
          <t>Servicios de Gestión de Catálogo para Ecommerce: Optimizá tu tienda online con gestión centralizada, atributos personalizados, imágenes de alta calidad e integración con ERP.</t>
        </is>
      </c>
      <c r="E1098" s="26" t="n">
        <v>3000</v>
      </c>
      <c r="F1098" s="27">
        <f>E1098/Config!$B$1</f>
        <v/>
      </c>
      <c r="G1098" s="28" t="inlineStr">
        <is>
          <t>Estimado (mediana de categoría)</t>
        </is>
      </c>
    </row>
    <row r="1099" ht="45.75" customHeight="1" s="19">
      <c r="A1099" s="24" t="n">
        <v>8404</v>
      </c>
      <c r="B1099" s="25" t="inlineStr">
        <is>
          <t>Servicios de Gestión de Contenidos para Ecommerce: Optimizá tu Tienda Virtual para Mayor Conversión</t>
        </is>
      </c>
      <c r="C1099" s="24" t="inlineStr">
        <is>
          <t>Desarrollo Web y E-Commerce</t>
        </is>
      </c>
      <c r="D1099" s="25" t="inlineStr">
        <is>
          <t>Servicios de Gestión de Contenidos para Ecommerce: Creá, administrá y optimizá el contenido de tu tienda online para mejorar la experiencia del usuario y aumentar las conversiones.</t>
        </is>
      </c>
      <c r="E1099" s="26" t="n">
        <v>3000</v>
      </c>
      <c r="F1099" s="27">
        <f>E1099/Config!$B$1</f>
        <v/>
      </c>
      <c r="G1099" s="28" t="inlineStr">
        <is>
          <t>Estimado (mediana de categoría)</t>
        </is>
      </c>
    </row>
    <row r="1100" ht="23.25" customHeight="1" s="19">
      <c r="A1100" s="24" t="n">
        <v>6699</v>
      </c>
      <c r="B1100" s="25" t="inlineStr">
        <is>
          <t>Servicios de Gestión de Inventario Ecommerce</t>
        </is>
      </c>
      <c r="C1100" s="24" t="inlineStr">
        <is>
          <t>Desarrollo Web y E-Commerce</t>
        </is>
      </c>
      <c r="D1100" s="25" t="inlineStr">
        <is>
          <t>Soluciones De Gestión De Inventario Para Ecommerce.</t>
        </is>
      </c>
      <c r="E1100" s="26" t="n">
        <v>1500</v>
      </c>
      <c r="F1100" s="27">
        <f>E1100/Config!$B$1</f>
        <v/>
      </c>
      <c r="G1100" s="24" t="inlineStr">
        <is>
          <t>Real</t>
        </is>
      </c>
    </row>
    <row r="1101" ht="57" customHeight="1" s="19">
      <c r="A1101" s="24" t="n">
        <v>6708</v>
      </c>
      <c r="B1101" s="25" t="inlineStr">
        <is>
          <t>Servicios de Implementación de Realidad Aumentada para Ecommerce: Mejora la Experiencia de Compra y Potencia las Ventas</t>
        </is>
      </c>
      <c r="C1101" s="24" t="inlineStr">
        <is>
          <t>Desarrollo Web y E-Commerce</t>
        </is>
      </c>
      <c r="D1101" s="25" t="inlineStr">
        <is>
          <t>Servicios de Implementación de Realidad Aumentada para Ecommerce: Visualización 3D, prueba virtual, información adicional, experiencias interactivas. Mejora la experiencia de compra, aumenta las conversiones y diferencia tu marca.</t>
        </is>
      </c>
      <c r="E1101" s="26" t="n">
        <v>5000</v>
      </c>
      <c r="F1101" s="27">
        <f>E1101/Config!$B$1</f>
        <v/>
      </c>
      <c r="G1101" s="24" t="inlineStr">
        <is>
          <t>Real</t>
        </is>
      </c>
    </row>
    <row r="1102" ht="57" customHeight="1" s="19">
      <c r="A1102" s="24" t="n">
        <v>8409</v>
      </c>
      <c r="B1102" s="25" t="inlineStr">
        <is>
          <t>Servicios de Implementación de Realidad Aumentada para Ecommerce: Visualización 3D, Prueba Virtual, Mayor Conversión</t>
        </is>
      </c>
      <c r="C1102" s="24" t="inlineStr">
        <is>
          <t>Desarrollo Web y E-Commerce</t>
        </is>
      </c>
      <c r="D1102" s="25" t="inlineStr">
        <is>
          <t>Servicios de Implementación de Realidad Aumentada para Ecommerce: Visualización 3D, prueba virtual, información adicional, interacción gamificada. Mayor conversión, experiencia de cliente mejorada, diferenciación competitiva, mayor valor de marca.</t>
        </is>
      </c>
      <c r="E1102" s="26" t="n">
        <v>3000</v>
      </c>
      <c r="F1102" s="27">
        <f>E1102/Config!$B$1</f>
        <v/>
      </c>
      <c r="G1102" s="28" t="inlineStr">
        <is>
          <t>Estimado (mediana de categoría)</t>
        </is>
      </c>
    </row>
    <row r="1103" ht="23.25" customHeight="1" s="19">
      <c r="A1103" s="24" t="n">
        <v>6693</v>
      </c>
      <c r="B1103" s="25" t="inlineStr">
        <is>
          <t>Servicios de Integración de Pasarelas de Pago Ecommerce</t>
        </is>
      </c>
      <c r="C1103" s="24" t="inlineStr">
        <is>
          <t>Desarrollo Web y E-Commerce</t>
        </is>
      </c>
      <c r="D1103" s="25" t="inlineStr">
        <is>
          <t>Soluciones De Integración De Pasarelas De Pago Para Ecommerce.</t>
        </is>
      </c>
      <c r="E1103" s="26" t="n">
        <v>1800</v>
      </c>
      <c r="F1103" s="27">
        <f>E1103/Config!$B$1</f>
        <v/>
      </c>
      <c r="G1103" s="24" t="inlineStr">
        <is>
          <t>Real</t>
        </is>
      </c>
    </row>
    <row r="1104" ht="15" customHeight="1" s="19">
      <c r="A1104" s="24" t="n">
        <v>6685</v>
      </c>
      <c r="B1104" s="25" t="inlineStr">
        <is>
          <t>Servicios de Internacionalización Ecommerce</t>
        </is>
      </c>
      <c r="C1104" s="24" t="inlineStr">
        <is>
          <t>Desarrollo Web y E-Commerce</t>
        </is>
      </c>
      <c r="D1104" s="25" t="inlineStr">
        <is>
          <t>Soluciones De Internacionalización Para Ecommerce.</t>
        </is>
      </c>
      <c r="E1104" s="26" t="n">
        <v>2000</v>
      </c>
      <c r="F1104" s="27">
        <f>E1104/Config!$B$1</f>
        <v/>
      </c>
      <c r="G1104" s="24" t="inlineStr">
        <is>
          <t>Real</t>
        </is>
      </c>
    </row>
    <row r="1105" ht="23.25" customHeight="1" s="19">
      <c r="A1105" s="24" t="n">
        <v>8386</v>
      </c>
      <c r="B1105" s="25" t="inlineStr">
        <is>
          <t>Servicios de Internacionalización para Ecommerce: Expande tu Negocio Globalmente</t>
        </is>
      </c>
      <c r="C1105" s="24" t="inlineStr">
        <is>
          <t>Desarrollo Web y E-Commerce</t>
        </is>
      </c>
      <c r="D1105" s="25" t="inlineStr">
        <is>
          <t>Servicios de Internacionalización para Ecommerce: Expande tu negocio globalmente</t>
        </is>
      </c>
      <c r="E1105" s="26" t="n">
        <v>3000</v>
      </c>
      <c r="F1105" s="27">
        <f>E1105/Config!$B$1</f>
        <v/>
      </c>
      <c r="G1105" s="28" t="inlineStr">
        <is>
          <t>Estimado (mediana de categoría)</t>
        </is>
      </c>
    </row>
    <row r="1106" ht="15" customHeight="1" s="19">
      <c r="A1106" s="24" t="n">
        <v>6675</v>
      </c>
      <c r="B1106" s="25" t="inlineStr">
        <is>
          <t>Servicios de Logística Ecommerce</t>
        </is>
      </c>
      <c r="C1106" s="24" t="inlineStr">
        <is>
          <t>Desarrollo Web y E-Commerce</t>
        </is>
      </c>
      <c r="D1106" s="25" t="inlineStr">
        <is>
          <t>Soluciones De Logística Para Ecommerce.</t>
        </is>
      </c>
      <c r="E1106" s="26" t="n">
        <v>800</v>
      </c>
      <c r="F1106" s="27">
        <f>E1106/Config!$B$1</f>
        <v/>
      </c>
      <c r="G1106" s="24" t="inlineStr">
        <is>
          <t>Real</t>
        </is>
      </c>
    </row>
    <row r="1107" ht="34.5" customHeight="1" s="19">
      <c r="A1107" s="24" t="n">
        <v>8376</v>
      </c>
      <c r="B1107" s="25" t="inlineStr">
        <is>
          <t>Servicios de Logística para Ecommerce: Optimiza tu Cadena de Suministro</t>
        </is>
      </c>
      <c r="C1107" s="24" t="inlineStr">
        <is>
          <t>Desarrollo Web y E-Commerce</t>
        </is>
      </c>
      <c r="D1107" s="25" t="inlineStr">
        <is>
          <t>Servicios de Logística para Ecommerce: Soluciones integrales para optimizar tus operaciones, reducir costos y mejorar la satisfacción del cliente.</t>
        </is>
      </c>
      <c r="E1107" s="26" t="n">
        <v>3000</v>
      </c>
      <c r="F1107" s="27">
        <f>E1107/Config!$B$1</f>
        <v/>
      </c>
      <c r="G1107" s="28" t="inlineStr">
        <is>
          <t>Estimado (mediana de categoría)</t>
        </is>
      </c>
    </row>
    <row r="1108" ht="34.5" customHeight="1" s="19">
      <c r="A1108" s="24" t="n">
        <v>8401</v>
      </c>
      <c r="B1108" s="25" t="inlineStr">
        <is>
          <t>Servicios de Logística y Distribución para Ecommerce: Soluciones Integrales para Optimizar tu Tienda Virtual</t>
        </is>
      </c>
      <c r="C1108" s="24" t="inlineStr">
        <is>
          <t>Desarrollo Web y E-Commerce</t>
        </is>
      </c>
      <c r="D1108" s="25" t="inlineStr">
        <is>
          <t>Servicios de Logística y Distribución para Ecommerce: Optimiza tus operaciones, reduce costos y mejora la satisfacción del cliente.</t>
        </is>
      </c>
      <c r="E1108" s="26" t="n">
        <v>3000</v>
      </c>
      <c r="F1108" s="27">
        <f>E1108/Config!$B$1</f>
        <v/>
      </c>
      <c r="G1108" s="28" t="inlineStr">
        <is>
          <t>Estimado (mediana de categoría)</t>
        </is>
      </c>
    </row>
    <row r="1109" ht="34.5" customHeight="1" s="19">
      <c r="A1109" s="24" t="n">
        <v>6700</v>
      </c>
      <c r="B1109" s="25" t="inlineStr">
        <is>
          <t>Servicios de Logística y Distribución para Ecommerce: Soluciones Integrales para tu Tienda Virtual</t>
        </is>
      </c>
      <c r="C1109" s="24" t="inlineStr">
        <is>
          <t>Desarrollo Web y E-Commerce</t>
        </is>
      </c>
      <c r="D1109" s="25" t="inlineStr">
        <is>
          <t>Servicios de Logística y Distribución para Ecommerce: Optimiza tus operaciones, reduce costos y mejora la satisfacción del cliente.</t>
        </is>
      </c>
      <c r="E1109" s="26" t="n">
        <v>2000</v>
      </c>
      <c r="F1109" s="27">
        <f>E1109/Config!$B$1</f>
        <v/>
      </c>
      <c r="G1109" s="24" t="inlineStr">
        <is>
          <t>Real</t>
        </is>
      </c>
    </row>
    <row r="1110" ht="23.25" customHeight="1" s="19">
      <c r="A1110" s="24" t="n">
        <v>5878</v>
      </c>
      <c r="B1110" s="25" t="inlineStr">
        <is>
          <t>Servicios de Migración y Modernización de Aplicaciones Legacy</t>
        </is>
      </c>
      <c r="C1110" s="24" t="inlineStr">
        <is>
          <t>Desarrollo Web y E-Commerce</t>
        </is>
      </c>
      <c r="D1110" s="25" t="inlineStr">
        <is>
          <t>Migración Y Modernización De Aplicaciones.</t>
        </is>
      </c>
      <c r="E1110" s="26" t="n">
        <v>9000</v>
      </c>
      <c r="F1110" s="27">
        <f>E1110/Config!$B$1</f>
        <v/>
      </c>
      <c r="G1110" s="24" t="inlineStr">
        <is>
          <t>Real</t>
        </is>
      </c>
    </row>
    <row r="1111" ht="23.25" customHeight="1" s="19">
      <c r="A1111" s="24" t="n">
        <v>7660</v>
      </c>
      <c r="B1111" s="25" t="inlineStr">
        <is>
          <t>Servicios de Migración y Modernización de Aplicaciones Legacy</t>
        </is>
      </c>
      <c r="C1111" s="24" t="inlineStr">
        <is>
          <t>Desarrollo Web y E-Commerce</t>
        </is>
      </c>
      <c r="D1111" s="25" t="inlineStr">
        <is>
          <t>Migración Y Modernización De Aplicaciones.</t>
        </is>
      </c>
      <c r="E1111" s="26" t="n">
        <v>3000</v>
      </c>
      <c r="F1111" s="27">
        <f>E1111/Config!$B$1</f>
        <v/>
      </c>
      <c r="G1111" s="28" t="inlineStr">
        <is>
          <t>Estimado (mediana de categoría)</t>
        </is>
      </c>
    </row>
    <row r="1112" ht="15" customHeight="1" s="19">
      <c r="A1112" s="24" t="n">
        <v>6669</v>
      </c>
      <c r="B1112" s="25" t="inlineStr">
        <is>
          <t>Servicios de Pagos Ecommerce</t>
        </is>
      </c>
      <c r="C1112" s="24" t="inlineStr">
        <is>
          <t>Desarrollo Web y E-Commerce</t>
        </is>
      </c>
      <c r="D1112" s="25" t="inlineStr">
        <is>
          <t>Soluciones De Pagos Para Ecommerce.</t>
        </is>
      </c>
      <c r="E1112" s="26" t="n">
        <v>800</v>
      </c>
      <c r="F1112" s="27">
        <f>E1112/Config!$B$1</f>
        <v/>
      </c>
      <c r="G1112" s="24" t="inlineStr">
        <is>
          <t>Real</t>
        </is>
      </c>
    </row>
    <row r="1113" ht="23.25" customHeight="1" s="19">
      <c r="A1113" s="24" t="n">
        <v>8370</v>
      </c>
      <c r="B1113" s="25" t="inlineStr">
        <is>
          <t>Servicios de Pagos para Ecommerce: Soluciones Integrales para tu Tienda Virtual</t>
        </is>
      </c>
      <c r="C1113" s="24" t="inlineStr">
        <is>
          <t>Desarrollo Web y E-Commerce</t>
        </is>
      </c>
      <c r="D1113" s="25" t="inlineStr">
        <is>
          <t>Servicios de Pagos para Ecommerce: La solución integral para tu negocio online</t>
        </is>
      </c>
      <c r="E1113" s="26" t="n">
        <v>3000</v>
      </c>
      <c r="F1113" s="27">
        <f>E1113/Config!$B$1</f>
        <v/>
      </c>
      <c r="G1113" s="28" t="inlineStr">
        <is>
          <t>Estimado (mediana de categoría)</t>
        </is>
      </c>
    </row>
    <row r="1114" ht="23.25" customHeight="1" s="19">
      <c r="A1114" s="24" t="n">
        <v>6696</v>
      </c>
      <c r="B1114" s="25" t="inlineStr">
        <is>
          <t>Servicios de Personalización Dinámica Ecommerce</t>
        </is>
      </c>
      <c r="C1114" s="24" t="inlineStr">
        <is>
          <t>Desarrollo Web y E-Commerce</t>
        </is>
      </c>
      <c r="D1114" s="25" t="inlineStr">
        <is>
          <t>Soluciones De Personalización Dinámica Para Ecommerce.</t>
        </is>
      </c>
      <c r="E1114" s="26" t="n">
        <v>2500</v>
      </c>
      <c r="F1114" s="27">
        <f>E1114/Config!$B$1</f>
        <v/>
      </c>
      <c r="G1114" s="24" t="inlineStr">
        <is>
          <t>Real</t>
        </is>
      </c>
    </row>
    <row r="1115" ht="34.5" customHeight="1" s="19">
      <c r="A1115" s="24" t="n">
        <v>8397</v>
      </c>
      <c r="B1115" s="25" t="inlineStr">
        <is>
          <t>Servicios de Personalización Dinámica para Ecommerce: Experiencias de Compra Personalizadas y Relevantes</t>
        </is>
      </c>
      <c r="C1115" s="24" t="inlineStr">
        <is>
          <t>Desarrollo Web y E-Commerce</t>
        </is>
      </c>
      <c r="D1115" s="25" t="inlineStr">
        <is>
          <t>Servicios de Personalización Dinámica para Ecommerce: Experiencias de Compra Personalizadas y Relevantes</t>
        </is>
      </c>
      <c r="E1115" s="26" t="n">
        <v>3000</v>
      </c>
      <c r="F1115" s="27">
        <f>E1115/Config!$B$1</f>
        <v/>
      </c>
      <c r="G1115" s="28" t="inlineStr">
        <is>
          <t>Estimado (mediana de categoría)</t>
        </is>
      </c>
    </row>
    <row r="1116" ht="15" customHeight="1" s="19">
      <c r="A1116" s="24" t="n">
        <v>6688</v>
      </c>
      <c r="B1116" s="25" t="inlineStr">
        <is>
          <t>Servicios de Personalización Ecommerce</t>
        </is>
      </c>
      <c r="C1116" s="24" t="inlineStr">
        <is>
          <t>Desarrollo Web y E-Commerce</t>
        </is>
      </c>
      <c r="D1116" s="25" t="inlineStr">
        <is>
          <t>Soluciones De Personalización Para Ecommerce.</t>
        </is>
      </c>
      <c r="E1116" s="26" t="n">
        <v>1800</v>
      </c>
      <c r="F1116" s="27">
        <f>E1116/Config!$B$1</f>
        <v/>
      </c>
      <c r="G1116" s="24" t="inlineStr">
        <is>
          <t>Real</t>
        </is>
      </c>
    </row>
    <row r="1117" ht="45.75" customHeight="1" s="19">
      <c r="A1117" s="24" t="n">
        <v>8389</v>
      </c>
      <c r="B1117" s="25" t="inlineStr">
        <is>
          <t>Servicios de Personalización Ecommerce: Mejora la Experiencia de Compra de tus Clientes</t>
        </is>
      </c>
      <c r="C1117" s="24" t="inlineStr">
        <is>
          <t>Desarrollo Web y E-Commerce</t>
        </is>
      </c>
      <c r="D1117" s="25" t="inlineStr">
        <is>
          <t>Servicios de Personalización Ecommerce: Soluciones para adaptar tu tienda online a las preferencias de cada cliente, aumentando conversiones, mejorando la experiencia y generando mayores ingresos.</t>
        </is>
      </c>
      <c r="E1117" s="26" t="n">
        <v>3000</v>
      </c>
      <c r="F1117" s="27">
        <f>E1117/Config!$B$1</f>
        <v/>
      </c>
      <c r="G1117" s="28" t="inlineStr">
        <is>
          <t>Estimado (mediana de categoría)</t>
        </is>
      </c>
    </row>
    <row r="1118" ht="23.25" customHeight="1" s="19">
      <c r="A1118" s="24" t="n">
        <v>6687</v>
      </c>
      <c r="B1118" s="25" t="inlineStr">
        <is>
          <t>Servicios de Retención de Clientes Ecommerce</t>
        </is>
      </c>
      <c r="C1118" s="24" t="inlineStr">
        <is>
          <t>Desarrollo Web y E-Commerce</t>
        </is>
      </c>
      <c r="D1118" s="25" t="inlineStr">
        <is>
          <t>Soluciones De Retención De Clientes Para Ecommerce.</t>
        </is>
      </c>
      <c r="E1118" s="26" t="n">
        <v>1500</v>
      </c>
      <c r="F1118" s="27">
        <f>E1118/Config!$B$1</f>
        <v/>
      </c>
      <c r="G1118" s="24" t="inlineStr">
        <is>
          <t>Real</t>
        </is>
      </c>
    </row>
    <row r="1119" ht="15" customHeight="1" s="19">
      <c r="A1119" s="24" t="n">
        <v>6678</v>
      </c>
      <c r="B1119" s="25" t="inlineStr">
        <is>
          <t>Servicios de Suscripción Ecommerce</t>
        </is>
      </c>
      <c r="C1119" s="24" t="inlineStr">
        <is>
          <t>Desarrollo Web y E-Commerce</t>
        </is>
      </c>
      <c r="D1119" s="25" t="inlineStr">
        <is>
          <t>Soluciones De Suscripción Para Ecommerce.</t>
        </is>
      </c>
      <c r="E1119" s="26" t="n">
        <v>1200</v>
      </c>
      <c r="F1119" s="27">
        <f>E1119/Config!$B$1</f>
        <v/>
      </c>
      <c r="G1119" s="24" t="inlineStr">
        <is>
          <t>Real</t>
        </is>
      </c>
    </row>
    <row r="1120" ht="23.25" customHeight="1" s="19">
      <c r="A1120" s="24" t="n">
        <v>8379</v>
      </c>
      <c r="B1120" s="25" t="inlineStr">
        <is>
          <t>Servicios de Suscripción para Ecommerce: Aumenta tus Ingresos y Fideliza Clientes</t>
        </is>
      </c>
      <c r="C1120" s="24" t="inlineStr">
        <is>
          <t>Desarrollo Web y E-Commerce</t>
        </is>
      </c>
      <c r="D1120" s="25" t="inlineStr">
        <is>
          <t>Servicios de Suscripción para Ecommerce: Soluciones para el crecimiento y la fidelización.</t>
        </is>
      </c>
      <c r="E1120" s="26" t="n">
        <v>3000</v>
      </c>
      <c r="F1120" s="27">
        <f>E1120/Config!$B$1</f>
        <v/>
      </c>
      <c r="G1120" s="28" t="inlineStr">
        <is>
          <t>Estimado (mediana de categoría)</t>
        </is>
      </c>
    </row>
    <row r="1121" ht="23.25" customHeight="1" s="19">
      <c r="A1121" s="24" t="n">
        <v>6062</v>
      </c>
      <c r="B1121" s="25" t="inlineStr">
        <is>
          <t>Servicios de desarrollo de aplicaciones con arquitecturas de microservicios</t>
        </is>
      </c>
      <c r="C1121" s="24" t="inlineStr">
        <is>
          <t>Desarrollo Web y E-Commerce</t>
        </is>
      </c>
      <c r="D1121" s="25" t="inlineStr">
        <is>
          <t>Aplicaciones Con Microservicios.</t>
        </is>
      </c>
      <c r="E1121" s="26" t="n">
        <v>9500</v>
      </c>
      <c r="F1121" s="27">
        <f>E1121/Config!$B$1</f>
        <v/>
      </c>
      <c r="G1121" s="24" t="inlineStr">
        <is>
          <t>Real</t>
        </is>
      </c>
    </row>
    <row r="1122" ht="23.25" customHeight="1" s="19">
      <c r="A1122" s="24" t="n">
        <v>7797</v>
      </c>
      <c r="B1122" s="25" t="inlineStr">
        <is>
          <t>Servicios de desarrollo de aplicaciones con arquitecturas de microservicios</t>
        </is>
      </c>
      <c r="C1122" s="24" t="inlineStr">
        <is>
          <t>Desarrollo Web y E-Commerce</t>
        </is>
      </c>
      <c r="D1122" s="25" t="inlineStr">
        <is>
          <t>Aplicaciones Con Microservicios.</t>
        </is>
      </c>
      <c r="E1122" s="26" t="n">
        <v>3000</v>
      </c>
      <c r="F1122" s="27">
        <f>E1122/Config!$B$1</f>
        <v/>
      </c>
      <c r="G1122" s="28" t="inlineStr">
        <is>
          <t>Estimado (mediana de categoría)</t>
        </is>
      </c>
    </row>
    <row r="1123" ht="34.5" customHeight="1" s="19">
      <c r="A1123" s="24" t="n">
        <v>6396</v>
      </c>
      <c r="B1123" s="25" t="inlineStr">
        <is>
          <t>Servicios de desarrollo de aplicaciones de realidad aumentada y virtual</t>
        </is>
      </c>
      <c r="C1123" s="24" t="inlineStr">
        <is>
          <t>Desarrollo Web y E-Commerce</t>
        </is>
      </c>
      <c r="D1123" s="25" t="inlineStr">
        <is>
          <t>Servicios De Diseño Y Desarrollo De Soluciones De Realidad Aumentada Y Virtual Para Diversos Sectores.</t>
        </is>
      </c>
      <c r="E1123" s="26" t="n">
        <v>18000</v>
      </c>
      <c r="F1123" s="27">
        <f>E1123/Config!$B$1</f>
        <v/>
      </c>
      <c r="G1123" s="24" t="inlineStr">
        <is>
          <t>Real</t>
        </is>
      </c>
    </row>
    <row r="1124" ht="34.5" customHeight="1" s="19">
      <c r="A1124" s="24" t="n">
        <v>6420</v>
      </c>
      <c r="B1124" s="25" t="inlineStr">
        <is>
          <t>Servicios de desarrollo de aplicaciones de realidad extendida (XR)</t>
        </is>
      </c>
      <c r="C1124" s="24" t="inlineStr">
        <is>
          <t>Desarrollo Web y E-Commerce</t>
        </is>
      </c>
      <c r="D1124" s="25" t="inlineStr">
        <is>
          <t>Servicios De Consultoría Y Construcción De Experiencias Interactivas En Entornos Virtuales Y Aumentados.</t>
        </is>
      </c>
      <c r="E1124" s="26" t="n">
        <v>19800</v>
      </c>
      <c r="F1124" s="27">
        <f>E1124/Config!$B$1</f>
        <v/>
      </c>
      <c r="G1124" s="24" t="inlineStr">
        <is>
          <t>Real</t>
        </is>
      </c>
    </row>
    <row r="1125" ht="34.5" customHeight="1" s="19">
      <c r="A1125" s="24" t="n">
        <v>6430</v>
      </c>
      <c r="B1125" s="25" t="inlineStr">
        <is>
          <t>Servicios de desarrollo de aplicaciones de realidad extendida para el metaverso</t>
        </is>
      </c>
      <c r="C1125" s="24" t="inlineStr">
        <is>
          <t>Desarrollo Web y E-Commerce</t>
        </is>
      </c>
      <c r="D1125" s="25" t="inlineStr">
        <is>
          <t>Servicios De Consultoría Y Construcción De Soluciones De Realidad Aumentada, Virtual Y Mixta Para Entornos Virtuales Compartidos.</t>
        </is>
      </c>
      <c r="E1125" s="26" t="n">
        <v>31500</v>
      </c>
      <c r="F1125" s="27">
        <f>E1125/Config!$B$1</f>
        <v/>
      </c>
      <c r="G1125" s="24" t="inlineStr">
        <is>
          <t>Real</t>
        </is>
      </c>
    </row>
    <row r="1126" ht="23.25" customHeight="1" s="19">
      <c r="A1126" s="24" t="n">
        <v>5993</v>
      </c>
      <c r="B1126" s="25" t="inlineStr">
        <is>
          <t>Servicios de desarrollo de aplicaciones web y móviles con integración de blockchain y criptomonedas</t>
        </is>
      </c>
      <c r="C1126" s="24" t="inlineStr">
        <is>
          <t>Desarrollo Web y E-Commerce</t>
        </is>
      </c>
      <c r="D1126" s="25" t="inlineStr">
        <is>
          <t>Desarrollo De Software</t>
        </is>
      </c>
      <c r="E1126" s="26" t="n">
        <v>6300</v>
      </c>
      <c r="F1126" s="27">
        <f>E1126/Config!$B$1</f>
        <v/>
      </c>
      <c r="G1126" s="24" t="inlineStr">
        <is>
          <t>Real</t>
        </is>
      </c>
    </row>
    <row r="1127" ht="23.25" customHeight="1" s="19">
      <c r="A1127" s="24" t="n">
        <v>7756</v>
      </c>
      <c r="B1127" s="25" t="inlineStr">
        <is>
          <t>Servicios de desarrollo de aplicaciones web y móviles con integración de blockchain y criptomonedas</t>
        </is>
      </c>
      <c r="C1127" s="24" t="inlineStr">
        <is>
          <t>Desarrollo Web y E-Commerce</t>
        </is>
      </c>
      <c r="D1127" s="25" t="inlineStr">
        <is>
          <t>Desarrollo De Software</t>
        </is>
      </c>
      <c r="E1127" s="26" t="n">
        <v>3000</v>
      </c>
      <c r="F1127" s="27">
        <f>E1127/Config!$B$1</f>
        <v/>
      </c>
      <c r="G1127" s="28" t="inlineStr">
        <is>
          <t>Estimado (mediana de categoría)</t>
        </is>
      </c>
    </row>
    <row r="1128" ht="23.25" customHeight="1" s="19">
      <c r="A1128" s="24" t="n">
        <v>6395</v>
      </c>
      <c r="B1128" s="25" t="inlineStr">
        <is>
          <t>Servicios de desarrollo de blockchain y smart contracts</t>
        </is>
      </c>
      <c r="C1128" s="24" t="inlineStr">
        <is>
          <t>Desarrollo Web y E-Commerce</t>
        </is>
      </c>
      <c r="D1128" s="25" t="inlineStr">
        <is>
          <t>Servicios De Consultoría Y Desarrollo De Proyectos Blockchain Y Smart Contracts.</t>
        </is>
      </c>
      <c r="E1128" s="26" t="n">
        <v>19800</v>
      </c>
      <c r="F1128" s="27">
        <f>E1128/Config!$B$1</f>
        <v/>
      </c>
      <c r="G1128" s="24" t="inlineStr">
        <is>
          <t>Real</t>
        </is>
      </c>
    </row>
    <row r="1129" ht="23.25" customHeight="1" s="19">
      <c r="A1129" s="24" t="n">
        <v>6382</v>
      </c>
      <c r="B1129" s="25" t="inlineStr">
        <is>
          <t>Servicios de desarrollo de sitios web y e-commerce</t>
        </is>
      </c>
      <c r="C1129" s="24" t="inlineStr">
        <is>
          <t>Desarrollo Web y E-Commerce</t>
        </is>
      </c>
      <c r="D1129" s="25" t="inlineStr">
        <is>
          <t>Servicios De Diseño, Desarrollo Y Mantenimiento De Soluciones Web Y De E-Commerce.</t>
        </is>
      </c>
      <c r="E1129" s="26" t="n">
        <v>16200</v>
      </c>
      <c r="F1129" s="27">
        <f>E1129/Config!$B$1</f>
        <v/>
      </c>
      <c r="G1129" s="24" t="inlineStr">
        <is>
          <t>Real</t>
        </is>
      </c>
    </row>
    <row r="1130" ht="23.25" customHeight="1" s="19">
      <c r="A1130" s="24" t="n">
        <v>8093</v>
      </c>
      <c r="B1130" s="25" t="inlineStr">
        <is>
          <t>Servicios de desarrollo de sitios web y e-commerce</t>
        </is>
      </c>
      <c r="C1130" s="24" t="inlineStr">
        <is>
          <t>Desarrollo Web y E-Commerce</t>
        </is>
      </c>
      <c r="D1130" s="25" t="inlineStr">
        <is>
          <t>Servicios De Diseño, Desarrollo Y Mantenimiento De Soluciones Web Y De E-Commerce.</t>
        </is>
      </c>
      <c r="E1130" s="26" t="n">
        <v>3000</v>
      </c>
      <c r="F1130" s="27">
        <f>E1130/Config!$B$1</f>
        <v/>
      </c>
      <c r="G1130" s="28" t="inlineStr">
        <is>
          <t>Estimado (mediana de categoría)</t>
        </is>
      </c>
    </row>
    <row r="1131" ht="23.25" customHeight="1" s="19">
      <c r="A1131" s="24" t="n">
        <v>6386</v>
      </c>
      <c r="B1131" s="25" t="inlineStr">
        <is>
          <t>Servicios de desarrollo de software a medida</t>
        </is>
      </c>
      <c r="C1131" s="24" t="inlineStr">
        <is>
          <t>Desarrollo Web y E-Commerce</t>
        </is>
      </c>
      <c r="D1131" s="25" t="inlineStr">
        <is>
          <t>Servicios De Diseño, Desarrollo, Implementación Y Mantenimiento De Aplicaciones A La Medida.</t>
        </is>
      </c>
      <c r="E1131" s="26" t="n">
        <v>27000</v>
      </c>
      <c r="F1131" s="27">
        <f>E1131/Config!$B$1</f>
        <v/>
      </c>
      <c r="G1131" s="24" t="inlineStr">
        <is>
          <t>Real</t>
        </is>
      </c>
    </row>
    <row r="1132" ht="23.25" customHeight="1" s="19">
      <c r="A1132" s="24" t="n">
        <v>8097</v>
      </c>
      <c r="B1132" s="25" t="inlineStr">
        <is>
          <t>Servicios de desarrollo de software a medida</t>
        </is>
      </c>
      <c r="C1132" s="24" t="inlineStr">
        <is>
          <t>Desarrollo Web y E-Commerce</t>
        </is>
      </c>
      <c r="D1132" s="25" t="inlineStr">
        <is>
          <t>Servicios De Diseño, Desarrollo, Implementación Y Mantenimiento De Aplicaciones A La Medida.</t>
        </is>
      </c>
      <c r="E1132" s="26" t="n">
        <v>3000</v>
      </c>
      <c r="F1132" s="27">
        <f>E1132/Config!$B$1</f>
        <v/>
      </c>
      <c r="G1132" s="28" t="inlineStr">
        <is>
          <t>Estimado (mediana de categoría)</t>
        </is>
      </c>
    </row>
    <row r="1133" ht="23.25" customHeight="1" s="19">
      <c r="A1133" s="24" t="n">
        <v>6414</v>
      </c>
      <c r="B1133" s="25" t="inlineStr">
        <is>
          <t>Servicios de desarrollo de software blockchain y smart contracts</t>
        </is>
      </c>
      <c r="C1133" s="24" t="inlineStr">
        <is>
          <t>Desarrollo Web y E-Commerce</t>
        </is>
      </c>
      <c r="D1133" s="25" t="inlineStr">
        <is>
          <t>Servicios De Diseño, Desarrollo E Implementación De Sistemas Y Aplicaciones Blockchain.</t>
        </is>
      </c>
      <c r="E1133" s="26" t="n">
        <v>22500</v>
      </c>
      <c r="F1133" s="27">
        <f>E1133/Config!$B$1</f>
        <v/>
      </c>
      <c r="G1133" s="24" t="inlineStr">
        <is>
          <t>Real</t>
        </is>
      </c>
    </row>
    <row r="1134" ht="34.5" customHeight="1" s="19">
      <c r="A1134" s="24" t="n">
        <v>6418</v>
      </c>
      <c r="B1134" s="25" t="inlineStr">
        <is>
          <t>Servicios de desarrollo de videojuegos y aplicaciones de entretenimiento interactivo</t>
        </is>
      </c>
      <c r="C1134" s="24" t="inlineStr">
        <is>
          <t>Desarrollo Web y E-Commerce</t>
        </is>
      </c>
      <c r="D1134" s="25" t="inlineStr">
        <is>
          <t>Servicios De Diseño, Desarrollo Y Publicación De Videojuegos Y Aplicaciones De Entretenimiento Innovadoras.</t>
        </is>
      </c>
      <c r="E1134" s="26" t="n">
        <v>22500</v>
      </c>
      <c r="F1134" s="27">
        <f>E1134/Config!$B$1</f>
        <v/>
      </c>
      <c r="G1134" s="24" t="inlineStr">
        <is>
          <t>Real</t>
        </is>
      </c>
    </row>
    <row r="1135" ht="34.5" customHeight="1" s="19">
      <c r="A1135" s="24" t="n">
        <v>8129</v>
      </c>
      <c r="B1135" s="25" t="inlineStr">
        <is>
          <t>Servicios de desarrollo de videojuegos y aplicaciones de entretenimiento interactivo</t>
        </is>
      </c>
      <c r="C1135" s="24" t="inlineStr">
        <is>
          <t>Desarrollo Web y E-Commerce</t>
        </is>
      </c>
      <c r="D1135" s="25" t="inlineStr">
        <is>
          <t>Servicios De Diseño, Desarrollo Y Publicación De Videojuegos Y Aplicaciones De Entretenimiento Innovadoras.</t>
        </is>
      </c>
      <c r="E1135" s="26" t="n">
        <v>3000</v>
      </c>
      <c r="F1135" s="27">
        <f>E1135/Config!$B$1</f>
        <v/>
      </c>
      <c r="G1135" s="28" t="inlineStr">
        <is>
          <t>Estimado (mediana de categoría)</t>
        </is>
      </c>
    </row>
    <row r="1136" ht="23.25" customHeight="1" s="19">
      <c r="A1136" s="24" t="n">
        <v>6424</v>
      </c>
      <c r="B1136" s="25" t="inlineStr">
        <is>
          <t>Servicios de desarrollo e implementación de soluciones de blockchain</t>
        </is>
      </c>
      <c r="C1136" s="24" t="inlineStr">
        <is>
          <t>Desarrollo Web y E-Commerce</t>
        </is>
      </c>
      <c r="D1136" s="25" t="inlineStr">
        <is>
          <t>Servicios De Consultoría Y Desarrollo De Soluciones Descentralizadas Y Seguras Utilizando Blockchain.</t>
        </is>
      </c>
      <c r="E1136" s="26" t="n">
        <v>27000</v>
      </c>
      <c r="F1136" s="27">
        <f>E1136/Config!$B$1</f>
        <v/>
      </c>
      <c r="G1136" s="24" t="inlineStr">
        <is>
          <t>Real</t>
        </is>
      </c>
    </row>
    <row r="1137" ht="23.25" customHeight="1" s="19">
      <c r="A1137" s="24" t="n">
        <v>5981</v>
      </c>
      <c r="B1137" s="25" t="inlineStr">
        <is>
          <t>Servicios de diseño y desarrollo de aplicaciones web con arquitecturas de microservicios y APIs</t>
        </is>
      </c>
      <c r="C1137" s="24" t="inlineStr">
        <is>
          <t>Desarrollo Web y E-Commerce</t>
        </is>
      </c>
      <c r="D1137" s="25" t="inlineStr">
        <is>
          <t>Desarrollo De Aplicaciones Web Con Microservicios Y Apis</t>
        </is>
      </c>
      <c r="E1137" s="26" t="n">
        <v>12600</v>
      </c>
      <c r="F1137" s="27">
        <f>E1137/Config!$B$1</f>
        <v/>
      </c>
      <c r="G1137" s="24" t="inlineStr">
        <is>
          <t>Real</t>
        </is>
      </c>
    </row>
    <row r="1138" ht="23.25" customHeight="1" s="19">
      <c r="A1138" s="24" t="n">
        <v>7744</v>
      </c>
      <c r="B1138" s="25" t="inlineStr">
        <is>
          <t>Servicios de diseño y desarrollo de aplicaciones web con arquitecturas de microservicios y APIs</t>
        </is>
      </c>
      <c r="C1138" s="24" t="inlineStr">
        <is>
          <t>Desarrollo Web y E-Commerce</t>
        </is>
      </c>
      <c r="D1138" s="25" t="inlineStr">
        <is>
          <t>Desarrollo De Aplicaciones Web Con Microservicios Y Apis</t>
        </is>
      </c>
      <c r="E1138" s="26" t="n">
        <v>3000</v>
      </c>
      <c r="F1138" s="27">
        <f>E1138/Config!$B$1</f>
        <v/>
      </c>
      <c r="G1138" s="28" t="inlineStr">
        <is>
          <t>Estimado (mediana de categoría)</t>
        </is>
      </c>
    </row>
    <row r="1139" ht="23.25" customHeight="1" s="19">
      <c r="A1139" s="24" t="n">
        <v>5989</v>
      </c>
      <c r="B1139" s="25" t="inlineStr">
        <is>
          <t>Servicios de diseño y desarrollo de portales web y aplicaciones con arquitectura de microservicios</t>
        </is>
      </c>
      <c r="C1139" s="24" t="inlineStr">
        <is>
          <t>Desarrollo Web y E-Commerce</t>
        </is>
      </c>
      <c r="D1139" s="25" t="inlineStr">
        <is>
          <t>Desarrollo De Portales Web Con Microservicios</t>
        </is>
      </c>
      <c r="E1139" s="26" t="n">
        <v>12600</v>
      </c>
      <c r="F1139" s="27">
        <f>E1139/Config!$B$1</f>
        <v/>
      </c>
      <c r="G1139" s="24" t="inlineStr">
        <is>
          <t>Real</t>
        </is>
      </c>
    </row>
    <row r="1140" ht="23.25" customHeight="1" s="19">
      <c r="A1140" s="24" t="n">
        <v>7752</v>
      </c>
      <c r="B1140" s="25" t="inlineStr">
        <is>
          <t>Servicios de diseño y desarrollo de portales web y aplicaciones con arquitectura de microservicios</t>
        </is>
      </c>
      <c r="C1140" s="24" t="inlineStr">
        <is>
          <t>Desarrollo Web y E-Commerce</t>
        </is>
      </c>
      <c r="D1140" s="25" t="inlineStr">
        <is>
          <t>Desarrollo De Portales Web Con Microservicios</t>
        </is>
      </c>
      <c r="E1140" s="26" t="n">
        <v>3000</v>
      </c>
      <c r="F1140" s="27">
        <f>E1140/Config!$B$1</f>
        <v/>
      </c>
      <c r="G1140" s="28" t="inlineStr">
        <is>
          <t>Estimado (mediana de categoría)</t>
        </is>
      </c>
    </row>
    <row r="1141" ht="23.25" customHeight="1" s="19">
      <c r="A1141" s="24" t="n">
        <v>6409</v>
      </c>
      <c r="B1141" s="25" t="inlineStr">
        <is>
          <t>Servicios de diseño y desarrollo de portales web y aplicaciones web</t>
        </is>
      </c>
      <c r="C1141" s="24" t="inlineStr">
        <is>
          <t>Desarrollo Web y E-Commerce</t>
        </is>
      </c>
      <c r="D1141" s="25" t="inlineStr">
        <is>
          <t>Servicios De Diseño, Codificación Y Despliegue De Soluciones Web A Medida.</t>
        </is>
      </c>
      <c r="E1141" s="26" t="n">
        <v>14400</v>
      </c>
      <c r="F1141" s="27">
        <f>E1141/Config!$B$1</f>
        <v/>
      </c>
      <c r="G1141" s="24" t="inlineStr">
        <is>
          <t>Real</t>
        </is>
      </c>
    </row>
    <row r="1142" ht="23.25" customHeight="1" s="19">
      <c r="A1142" s="24" t="n">
        <v>8120</v>
      </c>
      <c r="B1142" s="25" t="inlineStr">
        <is>
          <t>Servicios de diseño y desarrollo de portales web y aplicaciones web</t>
        </is>
      </c>
      <c r="C1142" s="24" t="inlineStr">
        <is>
          <t>Desarrollo Web y E-Commerce</t>
        </is>
      </c>
      <c r="D1142" s="25" t="inlineStr">
        <is>
          <t>Servicios De Diseño, Codificación Y Despliegue De Soluciones Web A Medida.</t>
        </is>
      </c>
      <c r="E1142" s="26" t="n">
        <v>3000</v>
      </c>
      <c r="F1142" s="27">
        <f>E1142/Config!$B$1</f>
        <v/>
      </c>
      <c r="G1142" s="28" t="inlineStr">
        <is>
          <t>Estimado (mediana de categoría)</t>
        </is>
      </c>
    </row>
    <row r="1143" ht="23.25" customHeight="1" s="19">
      <c r="A1143" s="24" t="n">
        <v>6370</v>
      </c>
      <c r="B1143" s="25" t="inlineStr">
        <is>
          <t>Servicios de diseño y desarrollo web</t>
        </is>
      </c>
      <c r="C1143" s="24" t="inlineStr">
        <is>
          <t>Desarrollo Web y E-Commerce</t>
        </is>
      </c>
      <c r="D1143" s="25" t="inlineStr">
        <is>
          <t>Servicios De Construcción Y Mejora De Presencia Web Para Empresas Y Organizaciones.</t>
        </is>
      </c>
      <c r="E1143" s="26" t="n">
        <v>10800</v>
      </c>
      <c r="F1143" s="27">
        <f>E1143/Config!$B$1</f>
        <v/>
      </c>
      <c r="G1143" s="24" t="inlineStr">
        <is>
          <t>Real</t>
        </is>
      </c>
    </row>
    <row r="1144" ht="23.25" customHeight="1" s="19">
      <c r="A1144" s="24" t="n">
        <v>8081</v>
      </c>
      <c r="B1144" s="25" t="inlineStr">
        <is>
          <t>Servicios de diseño y desarrollo web</t>
        </is>
      </c>
      <c r="C1144" s="24" t="inlineStr">
        <is>
          <t>Desarrollo Web y E-Commerce</t>
        </is>
      </c>
      <c r="D1144" s="25" t="inlineStr">
        <is>
          <t>Servicios De Construcción Y Mejora De Presencia Web Para Empresas Y Organizaciones.</t>
        </is>
      </c>
      <c r="E1144" s="26" t="n">
        <v>3000</v>
      </c>
      <c r="F1144" s="27">
        <f>E1144/Config!$B$1</f>
        <v/>
      </c>
      <c r="G1144" s="28" t="inlineStr">
        <is>
          <t>Estimado (mediana de categoría)</t>
        </is>
      </c>
    </row>
    <row r="1145" ht="23.25" customHeight="1" s="19">
      <c r="A1145" s="24" t="n">
        <v>6401</v>
      </c>
      <c r="B1145" s="25" t="inlineStr">
        <is>
          <t>Servicios de implementación de plataformas de comercio electrónico</t>
        </is>
      </c>
      <c r="C1145" s="24" t="inlineStr">
        <is>
          <t>Desarrollo Web y E-Commerce</t>
        </is>
      </c>
      <c r="D1145" s="25" t="inlineStr">
        <is>
          <t>Servicios De Creación Y Despliegue De Tiendas En Línea Y Plataformas De Comercio Digital.</t>
        </is>
      </c>
      <c r="E1145" s="26" t="n">
        <v>16200</v>
      </c>
      <c r="F1145" s="27">
        <f>E1145/Config!$B$1</f>
        <v/>
      </c>
      <c r="G1145" s="24" t="inlineStr">
        <is>
          <t>Real</t>
        </is>
      </c>
    </row>
    <row r="1146" ht="23.25" customHeight="1" s="19">
      <c r="A1146" s="24" t="n">
        <v>8112</v>
      </c>
      <c r="B1146" s="25" t="inlineStr">
        <is>
          <t>Servicios de implementación de plataformas de comercio electrónico</t>
        </is>
      </c>
      <c r="C1146" s="24" t="inlineStr">
        <is>
          <t>Desarrollo Web y E-Commerce</t>
        </is>
      </c>
      <c r="D1146" s="25" t="inlineStr">
        <is>
          <t>Servicios De Creación Y Despliegue De Tiendas En Línea Y Plataformas De Comercio Digital.</t>
        </is>
      </c>
      <c r="E1146" s="26" t="n">
        <v>3000</v>
      </c>
      <c r="F1146" s="27">
        <f>E1146/Config!$B$1</f>
        <v/>
      </c>
      <c r="G1146" s="28" t="inlineStr">
        <is>
          <t>Estimado (mediana de categoría)</t>
        </is>
      </c>
    </row>
    <row r="1147" ht="34.5" customHeight="1" s="19">
      <c r="A1147" s="24" t="n">
        <v>6426</v>
      </c>
      <c r="B1147" s="25" t="inlineStr">
        <is>
          <t>Servicios de implementación de soluciones de gestión de contenidos y portales web</t>
        </is>
      </c>
      <c r="C1147" s="24" t="inlineStr">
        <is>
          <t>Desarrollo Web y E-Commerce</t>
        </is>
      </c>
      <c r="D1147" s="25" t="inlineStr">
        <is>
          <t>Servicios De Consultoría Y Construcción De Soluciones De Gestión De Contenidos, Diseño Web Y Desarrollo De Aplicaciones Web.</t>
        </is>
      </c>
      <c r="E1147" s="26" t="n">
        <v>19800</v>
      </c>
      <c r="F1147" s="27">
        <f>E1147/Config!$B$1</f>
        <v/>
      </c>
      <c r="G1147" s="24" t="inlineStr">
        <is>
          <t>Real</t>
        </is>
      </c>
    </row>
    <row r="1148" ht="34.5" customHeight="1" s="19">
      <c r="A1148" s="24" t="n">
        <v>8137</v>
      </c>
      <c r="B1148" s="25" t="inlineStr">
        <is>
          <t>Servicios de implementación de soluciones de gestión de contenidos y portales web</t>
        </is>
      </c>
      <c r="C1148" s="24" t="inlineStr">
        <is>
          <t>Desarrollo Web y E-Commerce</t>
        </is>
      </c>
      <c r="D1148" s="25" t="inlineStr">
        <is>
          <t>Servicios De Consultoría Y Construcción De Soluciones De Gestión De Contenidos, Diseño Web Y Desarrollo De Aplicaciones Web.</t>
        </is>
      </c>
      <c r="E1148" s="26" t="n">
        <v>3000</v>
      </c>
      <c r="F1148" s="27">
        <f>E1148/Config!$B$1</f>
        <v/>
      </c>
      <c r="G1148" s="28" t="inlineStr">
        <is>
          <t>Estimado (mediana de categoría)</t>
        </is>
      </c>
    </row>
    <row r="1149" ht="34.5" customHeight="1" s="19">
      <c r="A1149" s="24" t="n">
        <v>6417</v>
      </c>
      <c r="B1149" s="25" t="inlineStr">
        <is>
          <t>Servicios de implementación de soluciones de realidad aumentada y realidad virtual</t>
        </is>
      </c>
      <c r="C1149" s="24" t="inlineStr">
        <is>
          <t>Desarrollo Web y E-Commerce</t>
        </is>
      </c>
      <c r="D1149" s="25" t="inlineStr">
        <is>
          <t>Servicios De Consultoría Y Despliegue De Soluciones De Realidad Extendida Para Diversos Sectores Y Casos De Uso.</t>
        </is>
      </c>
      <c r="E1149" s="26" t="n">
        <v>18000</v>
      </c>
      <c r="F1149" s="27">
        <f>E1149/Config!$B$1</f>
        <v/>
      </c>
      <c r="G1149" s="24" t="inlineStr">
        <is>
          <t>Real</t>
        </is>
      </c>
    </row>
    <row r="1150" ht="23.25" customHeight="1" s="19">
      <c r="A1150" s="24" t="n">
        <v>6367</v>
      </c>
      <c r="B1150" s="25" t="inlineStr">
        <is>
          <t>Servicios de integración de sistemas</t>
        </is>
      </c>
      <c r="C1150" s="24" t="inlineStr">
        <is>
          <t>Desarrollo Web y E-Commerce</t>
        </is>
      </c>
      <c r="D1150" s="25" t="inlineStr">
        <is>
          <t>Servicios De Consultoría Y Ejecución De Proyectos De Integración De Sistemas Y Apis.</t>
        </is>
      </c>
      <c r="E1150" s="26" t="n">
        <v>16200</v>
      </c>
      <c r="F1150" s="27">
        <f>E1150/Config!$B$1</f>
        <v/>
      </c>
      <c r="G1150" s="24" t="inlineStr">
        <is>
          <t>Real</t>
        </is>
      </c>
    </row>
    <row r="1151" ht="23.25" customHeight="1" s="19">
      <c r="A1151" s="24" t="n">
        <v>6383</v>
      </c>
      <c r="B1151" s="25" t="inlineStr">
        <is>
          <t>Servicios de integración de sistemas y middleware</t>
        </is>
      </c>
      <c r="C1151" s="24" t="inlineStr">
        <is>
          <t>Desarrollo Web y E-Commerce</t>
        </is>
      </c>
      <c r="D1151" s="25" t="inlineStr">
        <is>
          <t>Servicios De Consultoría Y Ejecución De Proyectos De Integración De Sistemas Y Apis.</t>
        </is>
      </c>
      <c r="E1151" s="26" t="n">
        <v>19800</v>
      </c>
      <c r="F1151" s="27">
        <f>E1151/Config!$B$1</f>
        <v/>
      </c>
      <c r="G1151" s="24" t="inlineStr">
        <is>
          <t>Real</t>
        </is>
      </c>
    </row>
    <row r="1152" ht="34.5" customHeight="1" s="19">
      <c r="A1152" s="24" t="n">
        <v>6400</v>
      </c>
      <c r="B1152" s="25" t="inlineStr">
        <is>
          <t>Servicios de integración y orquestación de sistemas</t>
        </is>
      </c>
      <c r="C1152" s="24" t="inlineStr">
        <is>
          <t>Desarrollo Web y E-Commerce</t>
        </is>
      </c>
      <c r="D1152" s="25" t="inlineStr">
        <is>
          <t>Servicios De Consultoría Y Desarrollo De Arquitecturas De Integración De Aplicaciones Y Datos.</t>
        </is>
      </c>
      <c r="E1152" s="26" t="n">
        <v>18000</v>
      </c>
      <c r="F1152" s="27">
        <f>E1152/Config!$B$1</f>
        <v/>
      </c>
      <c r="G1152" s="24" t="inlineStr">
        <is>
          <t>Real</t>
        </is>
      </c>
    </row>
    <row r="1153" ht="23.25" customHeight="1" s="19">
      <c r="A1153" s="24" t="n">
        <v>5999</v>
      </c>
      <c r="B1153" s="25" t="inlineStr">
        <is>
          <t>Servicios de migración y modernización de aplicaciones legacy a arquitecturas basadas en microservicios</t>
        </is>
      </c>
      <c r="C1153" s="24" t="inlineStr">
        <is>
          <t>Desarrollo Web y E-Commerce</t>
        </is>
      </c>
      <c r="D1153" s="25" t="inlineStr">
        <is>
          <t>Migración</t>
        </is>
      </c>
      <c r="E1153" s="26" t="n">
        <v>8100</v>
      </c>
      <c r="F1153" s="27">
        <f>E1153/Config!$B$1</f>
        <v/>
      </c>
      <c r="G1153" s="24" t="inlineStr">
        <is>
          <t>Real</t>
        </is>
      </c>
    </row>
    <row r="1154" ht="23.25" customHeight="1" s="19">
      <c r="A1154" s="24" t="n">
        <v>7762</v>
      </c>
      <c r="B1154" s="25" t="inlineStr">
        <is>
          <t>Servicios de migración y modernización de aplicaciones legacy a arquitecturas basadas en microservicios</t>
        </is>
      </c>
      <c r="C1154" s="24" t="inlineStr">
        <is>
          <t>Desarrollo Web y E-Commerce</t>
        </is>
      </c>
      <c r="D1154" s="25" t="inlineStr">
        <is>
          <t>Migración</t>
        </is>
      </c>
      <c r="E1154" s="26" t="n">
        <v>3000</v>
      </c>
      <c r="F1154" s="27">
        <f>E1154/Config!$B$1</f>
        <v/>
      </c>
      <c r="G1154" s="28" t="inlineStr">
        <is>
          <t>Estimado (mediana de categoría)</t>
        </is>
      </c>
    </row>
    <row r="1155" ht="34.5" customHeight="1" s="19">
      <c r="A1155" s="24" t="n">
        <v>6363</v>
      </c>
      <c r="B1155" s="25" t="inlineStr">
        <is>
          <t>Servicios de migración y modernización de sistemas</t>
        </is>
      </c>
      <c r="C1155" s="24" t="inlineStr">
        <is>
          <t>Desarrollo Web y E-Commerce</t>
        </is>
      </c>
      <c r="D1155" s="25" t="inlineStr">
        <is>
          <t>Servicios De Consultoría Y Ejecución De Proyectos De Modernización Y Migración De Infraestructura Tecnológica.</t>
        </is>
      </c>
      <c r="E1155" s="26" t="n">
        <v>18000</v>
      </c>
      <c r="F1155" s="27">
        <f>E1155/Config!$B$1</f>
        <v/>
      </c>
      <c r="G1155" s="24" t="inlineStr">
        <is>
          <t>Real</t>
        </is>
      </c>
    </row>
    <row r="1156" ht="23.25" customHeight="1" s="19">
      <c r="A1156" s="24" t="n">
        <v>6376</v>
      </c>
      <c r="B1156" s="25" t="inlineStr">
        <is>
          <t>Servicios de migración y modernización de sistemas legacy</t>
        </is>
      </c>
      <c r="C1156" s="24" t="inlineStr">
        <is>
          <t>Desarrollo Web y E-Commerce</t>
        </is>
      </c>
      <c r="D1156" s="25" t="inlineStr">
        <is>
          <t>Servicios De Consultoría Y Ejecución De Proyectos De Modernización De Sistemas Legacy.</t>
        </is>
      </c>
      <c r="E1156" s="26" t="n">
        <v>19800</v>
      </c>
      <c r="F1156" s="27">
        <f>E1156/Config!$B$1</f>
        <v/>
      </c>
      <c r="G1156" s="24" t="inlineStr">
        <is>
          <t>Real</t>
        </is>
      </c>
    </row>
    <row r="1157" ht="23.25" customHeight="1" s="19">
      <c r="A1157" s="24" t="n">
        <v>6657</v>
      </c>
      <c r="B1157" s="25" t="inlineStr">
        <is>
          <t>Soluciones de Pagos Ecommerce</t>
        </is>
      </c>
      <c r="C1157" s="24" t="inlineStr">
        <is>
          <t>Desarrollo Web y E-Commerce</t>
        </is>
      </c>
      <c r="D1157" s="25" t="inlineStr">
        <is>
          <t>Implementación De Soluciones De Pago Para Ecommerce.</t>
        </is>
      </c>
      <c r="E1157" s="26" t="n">
        <v>1000</v>
      </c>
      <c r="F1157" s="27">
        <f>E1157/Config!$B$1</f>
        <v/>
      </c>
      <c r="G1157" s="24" t="inlineStr">
        <is>
          <t>Real</t>
        </is>
      </c>
    </row>
    <row r="1158" ht="34.5" customHeight="1" s="19">
      <c r="A1158" s="24" t="n">
        <v>8358</v>
      </c>
      <c r="B1158" s="25" t="inlineStr">
        <is>
          <t>Soluciones de Pagos para Ecommerce: Integración Segura y Optimizada</t>
        </is>
      </c>
      <c r="C1158" s="24" t="inlineStr">
        <is>
          <t>Desarrollo Web y E-Commerce</t>
        </is>
      </c>
      <c r="D1158" s="25" t="inlineStr">
        <is>
          <t>Soluciones de Pagos para Ecommerce: Implementación de soluciones de pago para impulsar tu negocio online.</t>
        </is>
      </c>
      <c r="E1158" s="26" t="n">
        <v>3000</v>
      </c>
      <c r="F1158" s="27">
        <f>E1158/Config!$B$1</f>
        <v/>
      </c>
      <c r="G1158" s="28" t="inlineStr">
        <is>
          <t>Estimado (mediana de categoría)</t>
        </is>
      </c>
    </row>
    <row r="1159" ht="23.25" customHeight="1" s="19">
      <c r="A1159" s="24" t="n">
        <v>6335</v>
      </c>
      <c r="B1159" s="25" t="inlineStr">
        <is>
          <t>Soluciones de e-commerce</t>
        </is>
      </c>
      <c r="C1159" s="24" t="inlineStr">
        <is>
          <t>Desarrollo Web y E-Commerce</t>
        </is>
      </c>
      <c r="D1159" s="25" t="inlineStr">
        <is>
          <t>Servicios De Consultoría E Implementación De Soluciones De E-Commerce.</t>
        </is>
      </c>
      <c r="E1159" s="26" t="n">
        <v>6300</v>
      </c>
      <c r="F1159" s="27">
        <f>E1159/Config!$B$1</f>
        <v/>
      </c>
      <c r="G1159" s="24" t="inlineStr">
        <is>
          <t>Real</t>
        </is>
      </c>
    </row>
    <row r="1160" ht="23.25" customHeight="1" s="19">
      <c r="A1160" s="24" t="n">
        <v>8046</v>
      </c>
      <c r="B1160" s="25" t="inlineStr">
        <is>
          <t>Soluciones de e-commerce</t>
        </is>
      </c>
      <c r="C1160" s="24" t="inlineStr">
        <is>
          <t>Desarrollo Web y E-Commerce</t>
        </is>
      </c>
      <c r="D1160" s="25" t="inlineStr">
        <is>
          <t>Servicios De Consultoría E Implementación De Soluciones De E-Commerce.</t>
        </is>
      </c>
      <c r="E1160" s="26" t="n">
        <v>3000</v>
      </c>
      <c r="F1160" s="27">
        <f>E1160/Config!$B$1</f>
        <v/>
      </c>
      <c r="G1160" s="28" t="inlineStr">
        <is>
          <t>Estimado (mediana de categoría)</t>
        </is>
      </c>
    </row>
    <row r="1161" ht="23.25" customHeight="1" s="19">
      <c r="A1161" s="24" t="n">
        <v>6550</v>
      </c>
      <c r="B1161" s="25" t="inlineStr">
        <is>
          <t>Solución de Dropshipping</t>
        </is>
      </c>
      <c r="C1161" s="24" t="inlineStr">
        <is>
          <t>Desarrollo Web y E-Commerce</t>
        </is>
      </c>
      <c r="D1161" s="25" t="inlineStr">
        <is>
          <t>Servicio De Implementación De Dropshipping Para Ecommerce.</t>
        </is>
      </c>
      <c r="E1161" s="26" t="n">
        <v>1500</v>
      </c>
      <c r="F1161" s="27">
        <f>E1161/Config!$B$1</f>
        <v/>
      </c>
      <c r="G1161" s="24" t="inlineStr">
        <is>
          <t>Real</t>
        </is>
      </c>
    </row>
    <row r="1162" ht="23.25" customHeight="1" s="19">
      <c r="A1162" s="24" t="n">
        <v>6559</v>
      </c>
      <c r="B1162" s="25" t="inlineStr">
        <is>
          <t>Solución de Pasarela de Pago</t>
        </is>
      </c>
      <c r="C1162" s="24" t="inlineStr">
        <is>
          <t>Desarrollo Web y E-Commerce</t>
        </is>
      </c>
      <c r="D1162" s="25" t="inlineStr">
        <is>
          <t>Servicio De Implementación De Pasarela De Pago Para Ecommerce.</t>
        </is>
      </c>
      <c r="E1162" s="26" t="n">
        <v>1000</v>
      </c>
      <c r="F1162" s="27">
        <f>E1162/Config!$B$1</f>
        <v/>
      </c>
      <c r="G1162" s="24" t="inlineStr">
        <is>
          <t>Real</t>
        </is>
      </c>
    </row>
    <row r="1163" ht="23.25" customHeight="1" s="19">
      <c r="A1163" s="24" t="n">
        <v>8261</v>
      </c>
      <c r="B1163" s="25" t="inlineStr">
        <is>
          <t>Solución de Pasarela de Pago: Integración y Configuración para Ecommerce</t>
        </is>
      </c>
      <c r="C1163" s="24" t="inlineStr">
        <is>
          <t>Desarrollo Web y E-Commerce</t>
        </is>
      </c>
      <c r="D1163" s="25" t="inlineStr">
        <is>
          <t>Servicio de implementación de pasarela de pago para e-commerce.</t>
        </is>
      </c>
      <c r="E1163" s="26" t="n">
        <v>3000</v>
      </c>
      <c r="F1163" s="27">
        <f>E1163/Config!$B$1</f>
        <v/>
      </c>
      <c r="G1163" s="28" t="inlineStr">
        <is>
          <t>Estimado (mediana de categoría)</t>
        </is>
      </c>
    </row>
    <row r="1164" ht="15" customHeight="1" s="19">
      <c r="A1164" s="24" t="n">
        <v>7008</v>
      </c>
      <c r="B1164" s="25" t="inlineStr">
        <is>
          <t>Soporte Integral para Comercio Electrónico</t>
        </is>
      </c>
      <c r="C1164" s="24" t="inlineStr">
        <is>
          <t>Desarrollo Web y E-Commerce</t>
        </is>
      </c>
      <c r="D1164" s="25" t="inlineStr">
        <is>
          <t>Soporte Comercio Electrónico</t>
        </is>
      </c>
      <c r="E1164" s="26" t="n">
        <v>5300</v>
      </c>
      <c r="F1164" s="27">
        <f>E1164/Config!$B$1</f>
        <v/>
      </c>
      <c r="G1164" s="24" t="inlineStr">
        <is>
          <t>Real</t>
        </is>
      </c>
    </row>
    <row r="1165" ht="15" customHeight="1" s="19">
      <c r="A1165" s="24" t="n">
        <v>6988</v>
      </c>
      <c r="B1165" s="25" t="inlineStr">
        <is>
          <t>Soporte Técnico para Woocommerce</t>
        </is>
      </c>
      <c r="C1165" s="24" t="inlineStr">
        <is>
          <t>Desarrollo Web y E-Commerce</t>
        </is>
      </c>
      <c r="D1165" s="25" t="inlineStr">
        <is>
          <t>Soporte Woocommerce</t>
        </is>
      </c>
      <c r="E1165" s="26" t="n">
        <v>2300</v>
      </c>
      <c r="F1165" s="27">
        <f>E1165/Config!$B$1</f>
        <v/>
      </c>
      <c r="G1165" s="24" t="inlineStr">
        <is>
          <t>Real</t>
        </is>
      </c>
    </row>
    <row r="1166" ht="15" customHeight="1" s="19">
      <c r="A1166" s="24" t="n">
        <v>6992</v>
      </c>
      <c r="B1166" s="25" t="inlineStr">
        <is>
          <t>Soporte Técnico para Wordpress Multisite</t>
        </is>
      </c>
      <c r="C1166" s="24" t="inlineStr">
        <is>
          <t>Desarrollo Web y E-Commerce</t>
        </is>
      </c>
      <c r="D1166" s="25" t="inlineStr">
        <is>
          <t>Soporte Wordpress Multisite</t>
        </is>
      </c>
      <c r="E1166" s="26" t="n">
        <v>3800</v>
      </c>
      <c r="F1166" s="27">
        <f>E1166/Config!$B$1</f>
        <v/>
      </c>
      <c r="G1166" s="24" t="inlineStr">
        <is>
          <t>Real</t>
        </is>
      </c>
    </row>
    <row r="1167" ht="15" customHeight="1" s="19">
      <c r="A1167" s="24" t="n">
        <v>7010</v>
      </c>
      <c r="B1167" s="25" t="inlineStr">
        <is>
          <t>Soporte para Gestión de Contenidos</t>
        </is>
      </c>
      <c r="C1167" s="24" t="inlineStr">
        <is>
          <t>Desarrollo Web y E-Commerce</t>
        </is>
      </c>
      <c r="D1167" s="25" t="inlineStr">
        <is>
          <t>Gestión De Contenidos</t>
        </is>
      </c>
      <c r="E1167" s="26" t="n">
        <v>3800</v>
      </c>
      <c r="F1167" s="27">
        <f>E1167/Config!$B$1</f>
        <v/>
      </c>
      <c r="G1167" s="24" t="inlineStr">
        <is>
          <t>Real</t>
        </is>
      </c>
    </row>
    <row r="1168" ht="15" customHeight="1" s="19">
      <c r="A1168" s="24" t="n">
        <v>7009</v>
      </c>
      <c r="B1168" s="25" t="inlineStr">
        <is>
          <t>Soporte para Tiendas Online Avanzadas</t>
        </is>
      </c>
      <c r="C1168" s="24" t="inlineStr">
        <is>
          <t>Desarrollo Web y E-Commerce</t>
        </is>
      </c>
      <c r="D1168" s="25" t="inlineStr">
        <is>
          <t>Soporte Tiendas Online Avanzadas</t>
        </is>
      </c>
      <c r="E1168" s="26" t="n">
        <v>4800</v>
      </c>
      <c r="F1168" s="27">
        <f>E1168/Config!$B$1</f>
        <v/>
      </c>
      <c r="G1168" s="24" t="inlineStr">
        <is>
          <t>Real</t>
        </is>
      </c>
    </row>
    <row r="1169" ht="15" customHeight="1" s="19">
      <c r="A1169" s="24" t="n">
        <v>6993</v>
      </c>
      <c r="B1169" s="25" t="inlineStr">
        <is>
          <t>Soporte para Tiendas en Línea (E-Commerce)</t>
        </is>
      </c>
      <c r="C1169" s="24" t="inlineStr">
        <is>
          <t>Desarrollo Web y E-Commerce</t>
        </is>
      </c>
      <c r="D1169" s="25" t="inlineStr">
        <is>
          <t>Soporte E-Commerce</t>
        </is>
      </c>
      <c r="E1169" s="26" t="n">
        <v>3400</v>
      </c>
      <c r="F1169" s="27">
        <f>E1169/Config!$B$1</f>
        <v/>
      </c>
      <c r="G1169" s="24" t="inlineStr">
        <is>
          <t>Real</t>
        </is>
      </c>
    </row>
    <row r="1170" ht="15" customHeight="1" s="19">
      <c r="A1170" s="24" t="n">
        <v>6997</v>
      </c>
      <c r="B1170" s="25" t="inlineStr">
        <is>
          <t>Soporte para Wordpress</t>
        </is>
      </c>
      <c r="C1170" s="24" t="inlineStr">
        <is>
          <t>Desarrollo Web y E-Commerce</t>
        </is>
      </c>
      <c r="D1170" s="25" t="inlineStr">
        <is>
          <t>Soporte Wordpress</t>
        </is>
      </c>
      <c r="E1170" s="26" t="n">
        <v>3400</v>
      </c>
      <c r="F1170" s="27">
        <f>E1170/Config!$B$1</f>
        <v/>
      </c>
      <c r="G1170" s="24" t="inlineStr">
        <is>
          <t>Real</t>
        </is>
      </c>
    </row>
    <row r="1171" ht="15" customHeight="1" s="19">
      <c r="A1171" s="24" t="n">
        <v>6996</v>
      </c>
      <c r="B1171" s="25" t="inlineStr">
        <is>
          <t>Soporte para Wordpress Multisite</t>
        </is>
      </c>
      <c r="C1171" s="24" t="inlineStr">
        <is>
          <t>Desarrollo Web y E-Commerce</t>
        </is>
      </c>
      <c r="D1171" s="25" t="inlineStr">
        <is>
          <t>Soporte Wordpress Multisite</t>
        </is>
      </c>
      <c r="E1171" s="26" t="n">
        <v>3900</v>
      </c>
      <c r="F1171" s="27">
        <f>E1171/Config!$B$1</f>
        <v/>
      </c>
      <c r="G1171" s="24" t="inlineStr">
        <is>
          <t>Real</t>
        </is>
      </c>
    </row>
    <row r="1172" ht="15" customHeight="1" s="19">
      <c r="A1172" s="24" t="n">
        <v>7014</v>
      </c>
      <c r="B1172" s="25" t="inlineStr">
        <is>
          <t>Support for E-Commerce</t>
        </is>
      </c>
      <c r="C1172" s="24" t="inlineStr">
        <is>
          <t>Desarrollo Web y E-Commerce</t>
        </is>
      </c>
      <c r="D1172" s="25" t="inlineStr">
        <is>
          <t>Soporte E-Commerce</t>
        </is>
      </c>
      <c r="E1172" s="26" t="n">
        <v>1700</v>
      </c>
      <c r="F1172" s="27">
        <f>E1172/Config!$B$1</f>
        <v/>
      </c>
      <c r="G1172" s="24" t="inlineStr">
        <is>
          <t>Real</t>
        </is>
      </c>
    </row>
    <row r="1173" ht="23.25" customHeight="1" s="19">
      <c r="A1173" s="24" t="n">
        <v>6648</v>
      </c>
      <c r="B1173" s="25" t="inlineStr">
        <is>
          <t>Suscripciones y Membresías</t>
        </is>
      </c>
      <c r="C1173" s="24" t="inlineStr">
        <is>
          <t>Desarrollo Web y E-Commerce</t>
        </is>
      </c>
      <c r="D1173" s="25" t="inlineStr">
        <is>
          <t>Implementación De Suscripciones Y Membresías En Ecommerce.</t>
        </is>
      </c>
      <c r="E1173" s="26" t="n">
        <v>800</v>
      </c>
      <c r="F1173" s="27">
        <f>E1173/Config!$B$1</f>
        <v/>
      </c>
      <c r="G1173" s="24" t="inlineStr">
        <is>
          <t>Real</t>
        </is>
      </c>
    </row>
    <row r="1174" ht="23.25" customHeight="1" s="19">
      <c r="A1174" s="24" t="n">
        <v>8349</v>
      </c>
      <c r="B1174" s="25" t="inlineStr">
        <is>
          <t>Suscripciones y Membresías: Implementa modelos de suscripción y membresía para tu e-commerce</t>
        </is>
      </c>
      <c r="C1174" s="24" t="inlineStr">
        <is>
          <t>Desarrollo Web y E-Commerce</t>
        </is>
      </c>
      <c r="D1174" s="25" t="inlineStr">
        <is>
          <t>Suscripciones y Membresías: Implementación en Ecommerce para Crecimiento Sostenible</t>
        </is>
      </c>
      <c r="E1174" s="26" t="n">
        <v>3000</v>
      </c>
      <c r="F1174" s="27">
        <f>E1174/Config!$B$1</f>
        <v/>
      </c>
      <c r="G1174" s="28" t="inlineStr">
        <is>
          <t>Estimado (mediana de categoría)</t>
        </is>
      </c>
    </row>
    <row r="1175" ht="23.25" customHeight="1" s="19">
      <c r="A1175" s="24" t="n">
        <v>7558</v>
      </c>
      <c r="B1175" s="25" t="inlineStr">
        <is>
          <t>Tienda Online Básica: ¡Crea tu tienda virtual con facilidad y rapidez!</t>
        </is>
      </c>
      <c r="C1175" s="24" t="inlineStr">
        <is>
          <t>Desarrollo Web y E-Commerce</t>
        </is>
      </c>
      <c r="D1175" s="25" t="inlineStr">
        <is>
          <t>Tienda Online Básica: ¡Tu puerta de entrada al mundo del comercio electrónico!</t>
        </is>
      </c>
      <c r="E1175" s="26" t="n">
        <v>400</v>
      </c>
      <c r="F1175" s="27">
        <f>E1175/Config!$B$1</f>
        <v/>
      </c>
      <c r="G1175" s="24" t="inlineStr">
        <is>
          <t>Real</t>
        </is>
      </c>
    </row>
    <row r="1176" ht="15" customHeight="1" s="19">
      <c r="A1176" s="24" t="n">
        <v>6641</v>
      </c>
      <c r="B1176" s="25" t="inlineStr">
        <is>
          <t>Tienda Virtual</t>
        </is>
      </c>
      <c r="C1176" s="24" t="inlineStr">
        <is>
          <t>Desarrollo Web y E-Commerce</t>
        </is>
      </c>
      <c r="D1176" s="25" t="inlineStr">
        <is>
          <t>Implementación De Tienda Virtual Para Ecommerce.</t>
        </is>
      </c>
      <c r="E1176" s="26" t="n">
        <v>800</v>
      </c>
      <c r="F1176" s="27">
        <f>E1176/Config!$B$1</f>
        <v/>
      </c>
      <c r="G1176" s="24" t="inlineStr">
        <is>
          <t>Real</t>
        </is>
      </c>
    </row>
    <row r="1177" ht="23.25" customHeight="1" s="19">
      <c r="A1177" s="24" t="n">
        <v>6552</v>
      </c>
      <c r="B1177" s="25" t="inlineStr">
        <is>
          <t>Tienda Virtual Avanzada</t>
        </is>
      </c>
      <c r="C1177" s="24" t="inlineStr">
        <is>
          <t>Desarrollo Web y E-Commerce</t>
        </is>
      </c>
      <c r="D1177" s="25" t="inlineStr">
        <is>
          <t>Servicio De Desarrollo De Tienda Virtual Avanzada Para Ecommerce.</t>
        </is>
      </c>
      <c r="E1177" s="26" t="n">
        <v>3000</v>
      </c>
      <c r="F1177" s="27">
        <f>E1177/Config!$B$1</f>
        <v/>
      </c>
      <c r="G1177" s="24" t="inlineStr">
        <is>
          <t>Real</t>
        </is>
      </c>
    </row>
    <row r="1178" ht="23.25" customHeight="1" s="19">
      <c r="A1178" s="24" t="n">
        <v>8254</v>
      </c>
      <c r="B1178" s="25" t="inlineStr">
        <is>
          <t>Tienda Virtual Avanzada: Diseño Personalizado, Funcionalidades Robustas y Optimización SEO</t>
        </is>
      </c>
      <c r="C1178" s="24" t="inlineStr">
        <is>
          <t>Desarrollo Web y E-Commerce</t>
        </is>
      </c>
      <c r="D1178" s="25" t="inlineStr">
        <is>
          <t>Servicio de desarrollo de tienda virtual avanzada para e-commerce.</t>
        </is>
      </c>
      <c r="E1178" s="26" t="n">
        <v>3000</v>
      </c>
      <c r="F1178" s="27">
        <f>E1178/Config!$B$1</f>
        <v/>
      </c>
      <c r="G1178" s="28" t="inlineStr">
        <is>
          <t>Estimado (mediana de categoría)</t>
        </is>
      </c>
    </row>
    <row r="1179" ht="23.25" customHeight="1" s="19">
      <c r="A1179" s="24" t="n">
        <v>6551</v>
      </c>
      <c r="B1179" s="25" t="inlineStr">
        <is>
          <t>Tienda Virtual Básica</t>
        </is>
      </c>
      <c r="C1179" s="24" t="inlineStr">
        <is>
          <t>Desarrollo Web y E-Commerce</t>
        </is>
      </c>
      <c r="D1179" s="25" t="inlineStr">
        <is>
          <t>Servicio De Creación De Tienda Virtual Básica Para Ecommerce.</t>
        </is>
      </c>
      <c r="E1179" s="26" t="n">
        <v>1000</v>
      </c>
      <c r="F1179" s="27">
        <f>E1179/Config!$B$1</f>
        <v/>
      </c>
      <c r="G1179" s="24" t="inlineStr">
        <is>
          <t>Real</t>
        </is>
      </c>
    </row>
    <row r="1180" ht="23.25" customHeight="1" s="19">
      <c r="A1180" s="24" t="n">
        <v>8253</v>
      </c>
      <c r="B1180" s="25" t="inlineStr">
        <is>
          <t>Tienda Virtual Básica: ¡Crea tu tienda online hoy mismo!</t>
        </is>
      </c>
      <c r="C1180" s="24" t="inlineStr">
        <is>
          <t>Desarrollo Web y E-Commerce</t>
        </is>
      </c>
      <c r="D1180" s="25" t="inlineStr">
        <is>
          <t>Servicio de creación de tienda virtual básica para e-commerce.</t>
        </is>
      </c>
      <c r="E1180" s="26" t="n">
        <v>3000</v>
      </c>
      <c r="F1180" s="27">
        <f>E1180/Config!$B$1</f>
        <v/>
      </c>
      <c r="G1180" s="28" t="inlineStr">
        <is>
          <t>Estimado (mediana de categoría)</t>
        </is>
      </c>
    </row>
    <row r="1181" ht="23.25" customHeight="1" s="19">
      <c r="A1181" s="24" t="n">
        <v>8342</v>
      </c>
      <c r="B1181" s="25" t="inlineStr">
        <is>
          <t>Tienda Virtual: Tu Solución Integral para el Éxito del Ecommerce</t>
        </is>
      </c>
      <c r="C1181" s="24" t="inlineStr">
        <is>
          <t>Desarrollo Web y E-Commerce</t>
        </is>
      </c>
      <c r="D1181" s="25" t="inlineStr">
        <is>
          <t>Tienda Virtual: Tu portal al éxito en el comercio electrónico</t>
        </is>
      </c>
      <c r="E1181" s="26" t="n">
        <v>3000</v>
      </c>
      <c r="F1181" s="27">
        <f>E1181/Config!$B$1</f>
        <v/>
      </c>
      <c r="G1181" s="28" t="inlineStr">
        <is>
          <t>Estimado (mediana de categoría)</t>
        </is>
      </c>
    </row>
    <row r="1182" ht="15" customHeight="1" s="19">
      <c r="A1182" s="24" t="n">
        <v>6842</v>
      </c>
      <c r="B1182" s="25" t="inlineStr">
        <is>
          <t>Traducción de Página Web</t>
        </is>
      </c>
      <c r="C1182" s="24" t="inlineStr">
        <is>
          <t>Desarrollo Web y E-Commerce</t>
        </is>
      </c>
      <c r="D1182" s="25" t="inlineStr">
        <is>
          <t>Traducción De Sitio Web</t>
        </is>
      </c>
      <c r="E1182" s="26" t="n">
        <v>1900</v>
      </c>
      <c r="F1182" s="27">
        <f>E1182/Config!$B$1</f>
        <v/>
      </c>
      <c r="G1182" s="24" t="inlineStr">
        <is>
          <t>Real</t>
        </is>
      </c>
    </row>
    <row r="1183" ht="15" customHeight="1" s="19">
      <c r="A1183" s="24" t="n">
        <v>7025</v>
      </c>
      <c r="B1183" s="25" t="inlineStr">
        <is>
          <t>Traducción de Sitio Web</t>
        </is>
      </c>
      <c r="C1183" s="24" t="inlineStr">
        <is>
          <t>Desarrollo Web y E-Commerce</t>
        </is>
      </c>
      <c r="D1183" s="25" t="inlineStr">
        <is>
          <t>Traducción Sitio Web</t>
        </is>
      </c>
      <c r="E1183" s="26" t="n">
        <v>1350</v>
      </c>
      <c r="F1183" s="27">
        <f>E1183/Config!$B$1</f>
        <v/>
      </c>
      <c r="G1183" s="24" t="inlineStr">
        <is>
          <t>Real</t>
        </is>
      </c>
    </row>
    <row r="1184" ht="15" customHeight="1" s="19">
      <c r="A1184" s="24" t="n">
        <v>6955</v>
      </c>
      <c r="B1184" s="25" t="inlineStr">
        <is>
          <t>UX/UI Design</t>
        </is>
      </c>
      <c r="C1184" s="24" t="inlineStr">
        <is>
          <t>Desarrollo Web y E-Commerce</t>
        </is>
      </c>
      <c r="D1184" s="25" t="inlineStr">
        <is>
          <t>Diseño Ux/Ui</t>
        </is>
      </c>
      <c r="E1184" s="26" t="n">
        <v>2900</v>
      </c>
      <c r="F1184" s="27">
        <f>E1184/Config!$B$1</f>
        <v/>
      </c>
      <c r="G1184" s="24" t="inlineStr">
        <is>
          <t>Real</t>
        </is>
      </c>
    </row>
    <row r="1185" ht="15" customHeight="1" s="19">
      <c r="A1185" s="24" t="n">
        <v>5889</v>
      </c>
      <c r="B1185" s="25" t="inlineStr">
        <is>
          <t>Web Application Development</t>
        </is>
      </c>
      <c r="C1185" s="24" t="inlineStr">
        <is>
          <t>Desarrollo Web y E-Commerce</t>
        </is>
      </c>
      <c r="D1185" s="25" t="inlineStr">
        <is>
          <t>Desarrollo De Aplicaciones Web</t>
        </is>
      </c>
      <c r="E1185" s="26" t="n">
        <v>9000</v>
      </c>
      <c r="F1185" s="27">
        <f>E1185/Config!$B$1</f>
        <v/>
      </c>
      <c r="G1185" s="24" t="inlineStr">
        <is>
          <t>Real</t>
        </is>
      </c>
    </row>
    <row r="1186" ht="15" customHeight="1" s="19">
      <c r="A1186" s="24" t="n">
        <v>7671</v>
      </c>
      <c r="B1186" s="25" t="inlineStr">
        <is>
          <t>Web Application Development</t>
        </is>
      </c>
      <c r="C1186" s="24" t="inlineStr">
        <is>
          <t>Desarrollo Web y E-Commerce</t>
        </is>
      </c>
      <c r="D1186" s="25" t="inlineStr">
        <is>
          <t>Desarrollo De Aplicaciones Web</t>
        </is>
      </c>
      <c r="E1186" s="26" t="n">
        <v>3000</v>
      </c>
      <c r="F1186" s="27">
        <f>E1186/Config!$B$1</f>
        <v/>
      </c>
      <c r="G1186" s="28" t="inlineStr">
        <is>
          <t>Estimado (mediana de categoría)</t>
        </is>
      </c>
    </row>
    <row r="1187" ht="15" customHeight="1" s="19">
      <c r="A1187" s="24" t="n">
        <v>5904</v>
      </c>
      <c r="B1187" s="25" t="inlineStr">
        <is>
          <t>Web Design</t>
        </is>
      </c>
      <c r="C1187" s="24" t="inlineStr">
        <is>
          <t>Desarrollo Web y E-Commerce</t>
        </is>
      </c>
      <c r="D1187" s="25" t="inlineStr">
        <is>
          <t>Diseño Web Personalizado</t>
        </is>
      </c>
      <c r="E1187" s="26" t="n">
        <v>5000</v>
      </c>
      <c r="F1187" s="27">
        <f>E1187/Config!$B$1</f>
        <v/>
      </c>
      <c r="G1187" s="24" t="inlineStr">
        <is>
          <t>Real</t>
        </is>
      </c>
    </row>
    <row r="1188" ht="15" customHeight="1" s="19">
      <c r="A1188" s="24" t="n">
        <v>7686</v>
      </c>
      <c r="B1188" s="25" t="inlineStr">
        <is>
          <t>Web Design</t>
        </is>
      </c>
      <c r="C1188" s="24" t="inlineStr">
        <is>
          <t>Desarrollo Web y E-Commerce</t>
        </is>
      </c>
      <c r="D1188" s="25" t="inlineStr">
        <is>
          <t>Diseño Web Personalizado</t>
        </is>
      </c>
      <c r="E1188" s="26" t="n">
        <v>3000</v>
      </c>
      <c r="F1188" s="27">
        <f>E1188/Config!$B$1</f>
        <v/>
      </c>
      <c r="G1188" s="28" t="inlineStr">
        <is>
          <t>Estimado (mediana de categoría)</t>
        </is>
      </c>
    </row>
    <row r="1189" ht="23.25" customHeight="1" s="19">
      <c r="A1189" s="24" t="n">
        <v>7564</v>
      </c>
      <c r="B1189" s="25" t="inlineStr">
        <is>
          <t>¡Crea tu Tienda Online Básica y Vende en Internet Hoy!</t>
        </is>
      </c>
      <c r="C1189" s="24" t="inlineStr">
        <is>
          <t>Desarrollo Web y E-Commerce</t>
        </is>
      </c>
      <c r="D1189" s="25" t="inlineStr">
        <is>
          <t>Implementación de Tienda Online Básica: ¡Tu puerta de entrada al comercio electrónico!</t>
        </is>
      </c>
      <c r="E1189" s="26" t="n">
        <v>600</v>
      </c>
      <c r="F1189" s="27">
        <f>E1189/Config!$B$1</f>
        <v/>
      </c>
      <c r="G1189" s="24" t="inlineStr">
        <is>
          <t>Real</t>
        </is>
      </c>
    </row>
    <row r="1190" ht="23.25" customHeight="1" s="19">
      <c r="A1190" s="24" t="n">
        <v>6132</v>
      </c>
      <c r="B1190" s="25" t="inlineStr">
        <is>
          <t>¡Crea tu Tienda Online con Desarrollo de E-Commerce y Tiendas en Línea!</t>
        </is>
      </c>
      <c r="C1190" s="24" t="inlineStr">
        <is>
          <t>Desarrollo Web y E-Commerce</t>
        </is>
      </c>
      <c r="D1190" s="25" t="inlineStr">
        <is>
          <t>Desarrollo de E-Commerce y Tiendas en Línea: La clave para el éxito en el mundo digital.</t>
        </is>
      </c>
      <c r="E1190" s="26" t="n">
        <v>4600</v>
      </c>
      <c r="F1190" s="27">
        <f>E1190/Config!$B$1</f>
        <v/>
      </c>
      <c r="G1190" s="24" t="inlineStr">
        <is>
          <t>Real</t>
        </is>
      </c>
    </row>
    <row r="1191" ht="34.5" customHeight="1" s="19">
      <c r="A1191" s="24" t="n">
        <v>7856</v>
      </c>
      <c r="B1191" s="25" t="inlineStr">
        <is>
          <t>¡Crea tu Tienda Online con Desarrollo de E-Commerce y Tiendas en Línea: La Clave para el Éxito Digital!</t>
        </is>
      </c>
      <c r="C1191" s="24" t="inlineStr">
        <is>
          <t>Desarrollo Web y E-Commerce</t>
        </is>
      </c>
      <c r="D1191" s="25" t="inlineStr">
        <is>
          <t>¡Crea tu Tienda Online con Desarrollo de E-Commerce y Tiendas en Línea! La clave para el éxito en el mundo digital.</t>
        </is>
      </c>
      <c r="E1191" s="26" t="n">
        <v>3000</v>
      </c>
      <c r="F1191" s="27">
        <f>E1191/Config!$B$1</f>
        <v/>
      </c>
      <c r="G1191" s="28" t="inlineStr">
        <is>
          <t>Estimado (mediana de categoría)</t>
        </is>
      </c>
    </row>
    <row r="1192" ht="23.25" customHeight="1" s="19">
      <c r="A1192" s="24" t="n">
        <v>7471</v>
      </c>
      <c r="B1192" s="25" t="inlineStr">
        <is>
          <t>$1000: La solución integral para tus necesidades financieras</t>
        </is>
      </c>
      <c r="C1192" s="24" t="inlineStr">
        <is>
          <t>ERP y CRM</t>
        </is>
      </c>
      <c r="D1192" s="25" t="inlineStr">
        <is>
          <t>1.000 pesos: un billete con historia y valor</t>
        </is>
      </c>
      <c r="E1192" s="26" t="n">
        <v>8000</v>
      </c>
      <c r="F1192" s="27">
        <f>E1192/Config!$B$1</f>
        <v/>
      </c>
      <c r="G1192" s="24" t="inlineStr">
        <is>
          <t>Real</t>
        </is>
      </c>
    </row>
    <row r="1193" ht="23.25" customHeight="1" s="19">
      <c r="A1193" s="24" t="n">
        <v>7497</v>
      </c>
      <c r="B1193" s="25" t="inlineStr">
        <is>
          <t>5 usuarios: la solución perfecta para equipos pequeños y medianos</t>
        </is>
      </c>
      <c r="C1193" s="24" t="inlineStr">
        <is>
          <t>ERP y CRM</t>
        </is>
      </c>
      <c r="D1193" s="25" t="inlineStr">
        <is>
          <t>5 Usuarios: La solución integral para la gestión de equipos</t>
        </is>
      </c>
      <c r="E1193" s="26" t="n">
        <v>100</v>
      </c>
      <c r="F1193" s="27">
        <f>E1193/Config!$B$1</f>
        <v/>
      </c>
      <c r="G1193" s="24" t="inlineStr">
        <is>
          <t>Real</t>
        </is>
      </c>
    </row>
    <row r="1194" ht="15" customHeight="1" s="19">
      <c r="A1194" s="24" t="n">
        <v>6976</v>
      </c>
      <c r="B1194" s="25" t="inlineStr">
        <is>
          <t>Actualización De Versión CRM</t>
        </is>
      </c>
      <c r="C1194" s="24" t="inlineStr">
        <is>
          <t>ERP y CRM</t>
        </is>
      </c>
      <c r="D1194" s="25" t="inlineStr">
        <is>
          <t>Actualización Crm</t>
        </is>
      </c>
      <c r="E1194" s="26" t="n">
        <v>1350</v>
      </c>
      <c r="F1194" s="27">
        <f>E1194/Config!$B$1</f>
        <v/>
      </c>
      <c r="G1194" s="24" t="inlineStr">
        <is>
          <t>Real</t>
        </is>
      </c>
    </row>
    <row r="1195" ht="15" customHeight="1" s="19">
      <c r="A1195" s="24" t="n">
        <v>6602</v>
      </c>
      <c r="B1195" s="25" t="inlineStr">
        <is>
          <t>Actualización de ERP SAP a Última Versión</t>
        </is>
      </c>
      <c r="C1195" s="24" t="inlineStr">
        <is>
          <t>ERP y CRM</t>
        </is>
      </c>
      <c r="D1195" s="25" t="inlineStr">
        <is>
          <t>Actualización De Erp Sap A Última Versión.</t>
        </is>
      </c>
      <c r="E1195" s="26" t="n">
        <v>60000</v>
      </c>
      <c r="F1195" s="27">
        <f>E1195/Config!$B$1</f>
        <v/>
      </c>
      <c r="G1195" s="24" t="inlineStr">
        <is>
          <t>Real</t>
        </is>
      </c>
    </row>
    <row r="1196" ht="15" customHeight="1" s="19">
      <c r="A1196" s="24" t="n">
        <v>8304</v>
      </c>
      <c r="B1196" s="25" t="inlineStr">
        <is>
          <t>Actualización de ERP SAP a Última Versión</t>
        </is>
      </c>
      <c r="C1196" s="24" t="inlineStr">
        <is>
          <t>ERP y CRM</t>
        </is>
      </c>
      <c r="D1196" s="25" t="inlineStr">
        <is>
          <t>Actualización De Erp Sap A Última Versión.</t>
        </is>
      </c>
      <c r="E1196" s="26" t="n">
        <v>2300</v>
      </c>
      <c r="F1196" s="27">
        <f>E1196/Config!$B$1</f>
        <v/>
      </c>
      <c r="G1196" s="28" t="inlineStr">
        <is>
          <t>Estimado (mediana de categoría)</t>
        </is>
      </c>
    </row>
    <row r="1197" ht="23.25" customHeight="1" s="19">
      <c r="A1197" s="24" t="n">
        <v>7518</v>
      </c>
      <c r="B1197" s="25" t="inlineStr">
        <is>
          <t>Adaptación a Cambios Regulatorios: Mantente al día con las últimas normativas</t>
        </is>
      </c>
      <c r="C1197" s="24" t="inlineStr">
        <is>
          <t>ERP y CRM</t>
        </is>
      </c>
      <c r="D1197" s="25" t="inlineStr">
        <is>
          <t>Adaptación a Cambios Regulatorios: Navegando el panorama regulatorio en constante evolución</t>
        </is>
      </c>
      <c r="E1197" s="26" t="n">
        <v>2300</v>
      </c>
      <c r="F1197" s="27">
        <f>E1197/Config!$B$1</f>
        <v/>
      </c>
      <c r="G1197" s="28" t="inlineStr">
        <is>
          <t>Estimado (mediana de categoría)</t>
        </is>
      </c>
    </row>
    <row r="1198" ht="15" customHeight="1" s="19">
      <c r="A1198" s="24" t="n">
        <v>7434</v>
      </c>
      <c r="B1198" s="25" t="inlineStr">
        <is>
          <t>Administración de Clientes</t>
        </is>
      </c>
      <c r="C1198" s="24" t="inlineStr">
        <is>
          <t>ERP y CRM</t>
        </is>
      </c>
      <c r="D1198" s="25" t="n"/>
      <c r="E1198" s="26" t="n">
        <v>2300</v>
      </c>
      <c r="F1198" s="27">
        <f>E1198/Config!$B$1</f>
        <v/>
      </c>
      <c r="G1198" s="28" t="inlineStr">
        <is>
          <t>Estimado (mediana de categoría)</t>
        </is>
      </c>
    </row>
    <row r="1199" ht="15" customHeight="1" s="19">
      <c r="A1199" s="24" t="n">
        <v>7425</v>
      </c>
      <c r="B1199" s="25" t="inlineStr">
        <is>
          <t>Administración de Recursos</t>
        </is>
      </c>
      <c r="C1199" s="24" t="inlineStr">
        <is>
          <t>ERP y CRM</t>
        </is>
      </c>
      <c r="D1199" s="25" t="n"/>
      <c r="E1199" s="26" t="n">
        <v>2300</v>
      </c>
      <c r="F1199" s="27">
        <f>E1199/Config!$B$1</f>
        <v/>
      </c>
      <c r="G1199" s="28" t="inlineStr">
        <is>
          <t>Estimado (mediana de categoría)</t>
        </is>
      </c>
    </row>
    <row r="1200" ht="68.25" customHeight="1" s="19">
      <c r="A1200" s="24" t="n">
        <v>7533</v>
      </c>
      <c r="B1200" s="25" t="inlineStr">
        <is>
          <t>Análisis de Desempeño del Sistema: Optimiza el Rendimiento y la Eficiencia</t>
        </is>
      </c>
      <c r="C1200" s="24" t="inlineStr">
        <is>
          <t>ERP y CRM</t>
        </is>
      </c>
      <c r="D1200" s="25" t="inlineStr">
        <is>
          <t>Análisis de Desempeño del Sistema: Optimiza el rendimiento para el éxito. Monitorea en tiempo real, analiza tendencias, diagnostica problemas y genera informes personalizados para mejorar el rendimiento, reducir costos, aumentar la productividad y obtener una ventaja competitiva.</t>
        </is>
      </c>
      <c r="E1200" s="26" t="n">
        <v>500</v>
      </c>
      <c r="F1200" s="27">
        <f>E1200/Config!$B$1</f>
        <v/>
      </c>
      <c r="G1200" s="24" t="inlineStr">
        <is>
          <t>Real</t>
        </is>
      </c>
    </row>
    <row r="1201" ht="15" customHeight="1" s="19">
      <c r="A1201" s="24" t="n">
        <v>6742</v>
      </c>
      <c r="B1201" s="25" t="inlineStr">
        <is>
          <t>Asesoramiento en Transformación Digital</t>
        </is>
      </c>
      <c r="C1201" s="24" t="inlineStr">
        <is>
          <t>ERP y CRM</t>
        </is>
      </c>
      <c r="D1201" s="25" t="inlineStr">
        <is>
          <t>Transformación Digital</t>
        </is>
      </c>
      <c r="E1201" s="26" t="n">
        <v>3000</v>
      </c>
      <c r="F1201" s="27">
        <f>E1201/Config!$B$1</f>
        <v/>
      </c>
      <c r="G1201" s="24" t="inlineStr">
        <is>
          <t>Real</t>
        </is>
      </c>
    </row>
    <row r="1202" ht="15" customHeight="1" s="19">
      <c r="A1202" s="24" t="n">
        <v>6744</v>
      </c>
      <c r="B1202" s="25" t="inlineStr">
        <is>
          <t>Asesoría en Cumplimiento Normativo</t>
        </is>
      </c>
      <c r="C1202" s="24" t="inlineStr">
        <is>
          <t>ERP y CRM</t>
        </is>
      </c>
      <c r="D1202" s="25" t="inlineStr">
        <is>
          <t>Cumplimiento Normativo.</t>
        </is>
      </c>
      <c r="E1202" s="26" t="n">
        <v>2600</v>
      </c>
      <c r="F1202" s="27">
        <f>E1202/Config!$B$1</f>
        <v/>
      </c>
      <c r="G1202" s="24" t="inlineStr">
        <is>
          <t>Real</t>
        </is>
      </c>
    </row>
    <row r="1203" ht="15" customHeight="1" s="19">
      <c r="A1203" s="24" t="n">
        <v>6746</v>
      </c>
      <c r="B1203" s="25" t="inlineStr">
        <is>
          <t>Asesoría en Transformación Digital</t>
        </is>
      </c>
      <c r="C1203" s="24" t="inlineStr">
        <is>
          <t>ERP y CRM</t>
        </is>
      </c>
      <c r="D1203" s="25" t="inlineStr">
        <is>
          <t>Transformación Digital</t>
        </is>
      </c>
      <c r="E1203" s="26" t="n">
        <v>4500</v>
      </c>
      <c r="F1203" s="27">
        <f>E1203/Config!$B$1</f>
        <v/>
      </c>
      <c r="G1203" s="24" t="inlineStr">
        <is>
          <t>Real</t>
        </is>
      </c>
    </row>
    <row r="1204" ht="15" customHeight="1" s="19">
      <c r="A1204" s="24" t="n">
        <v>6757</v>
      </c>
      <c r="B1204" s="25" t="inlineStr">
        <is>
          <t>Asesoría en Transformación Digital y Organizacional</t>
        </is>
      </c>
      <c r="C1204" s="24" t="inlineStr">
        <is>
          <t>ERP y CRM</t>
        </is>
      </c>
      <c r="D1204" s="25" t="inlineStr">
        <is>
          <t>Asesoría En Transformación Digital Y Organizacional</t>
        </is>
      </c>
      <c r="E1204" s="26" t="n">
        <v>11500</v>
      </c>
      <c r="F1204" s="27">
        <f>E1204/Config!$B$1</f>
        <v/>
      </c>
      <c r="G1204" s="24" t="inlineStr">
        <is>
          <t>Real</t>
        </is>
      </c>
    </row>
    <row r="1205" ht="23.25" customHeight="1" s="19">
      <c r="A1205" s="24" t="n">
        <v>6953</v>
      </c>
      <c r="B1205" s="25" t="inlineStr">
        <is>
          <t>Asistencia en la Implementación de Suscripciones en Ecommerce</t>
        </is>
      </c>
      <c r="C1205" s="24" t="inlineStr">
        <is>
          <t>ERP y CRM</t>
        </is>
      </c>
      <c r="D1205" s="25" t="inlineStr">
        <is>
          <t>Suscripciones En Ecommerce</t>
        </is>
      </c>
      <c r="E1205" s="26" t="n">
        <v>2800</v>
      </c>
      <c r="F1205" s="27">
        <f>E1205/Config!$B$1</f>
        <v/>
      </c>
      <c r="G1205" s="24" t="inlineStr">
        <is>
          <t>Real</t>
        </is>
      </c>
    </row>
    <row r="1206" ht="15" customHeight="1" s="19">
      <c r="A1206" s="24" t="n">
        <v>7600</v>
      </c>
      <c r="B1206" s="25" t="inlineStr">
        <is>
          <t>Auditoría de sistemas</t>
        </is>
      </c>
      <c r="C1206" s="24" t="inlineStr">
        <is>
          <t>ERP y CRM</t>
        </is>
      </c>
      <c r="D1206" s="25" t="inlineStr">
        <is>
          <t>Auditoría De Sistemas</t>
        </is>
      </c>
      <c r="E1206" s="26" t="n">
        <v>1080</v>
      </c>
      <c r="F1206" s="27">
        <f>E1206/Config!$B$1</f>
        <v/>
      </c>
      <c r="G1206" s="24" t="inlineStr">
        <is>
          <t>Real</t>
        </is>
      </c>
    </row>
    <row r="1207" ht="23.25" customHeight="1" s="19">
      <c r="A1207" s="24" t="n">
        <v>8416</v>
      </c>
      <c r="B1207" s="25" t="inlineStr">
        <is>
          <t>Auditoría y Optimización de ERP: Mejora de Procesos, Seguridad y Rendimiento</t>
        </is>
      </c>
      <c r="C1207" s="24" t="inlineStr">
        <is>
          <t>ERP y CRM</t>
        </is>
      </c>
      <c r="D1207" s="25" t="inlineStr">
        <is>
          <t>Servicios de Auditoría y Optimización de Sistemas Erp</t>
        </is>
      </c>
      <c r="E1207" s="26" t="n">
        <v>2300</v>
      </c>
      <c r="F1207" s="27">
        <f>E1207/Config!$B$1</f>
        <v/>
      </c>
      <c r="G1207" s="28" t="inlineStr">
        <is>
          <t>Estimado (mediana de categoría)</t>
        </is>
      </c>
    </row>
    <row r="1208" ht="15" customHeight="1" s="19">
      <c r="A1208" s="24" t="n">
        <v>6881</v>
      </c>
      <c r="B1208" s="25" t="inlineStr">
        <is>
          <t>CRM para Agroindustria</t>
        </is>
      </c>
      <c r="C1208" s="24" t="inlineStr">
        <is>
          <t>ERP y CRM</t>
        </is>
      </c>
      <c r="D1208" s="25" t="inlineStr">
        <is>
          <t>Crm Especializado En Agroindustria.</t>
        </is>
      </c>
      <c r="E1208" s="26" t="n">
        <v>2400</v>
      </c>
      <c r="F1208" s="27">
        <f>E1208/Config!$B$1</f>
        <v/>
      </c>
      <c r="G1208" s="24" t="inlineStr">
        <is>
          <t>Real</t>
        </is>
      </c>
    </row>
    <row r="1209" ht="15" customHeight="1" s="19">
      <c r="A1209" s="24" t="n">
        <v>6884</v>
      </c>
      <c r="B1209" s="25" t="inlineStr">
        <is>
          <t>CRM para Distribuidores y Mayoristas</t>
        </is>
      </c>
      <c r="C1209" s="24" t="inlineStr">
        <is>
          <t>ERP y CRM</t>
        </is>
      </c>
      <c r="D1209" s="25" t="inlineStr">
        <is>
          <t>Crm Especializado En Distribuidores.</t>
        </is>
      </c>
      <c r="E1209" s="26" t="n">
        <v>2600</v>
      </c>
      <c r="F1209" s="27">
        <f>E1209/Config!$B$1</f>
        <v/>
      </c>
      <c r="G1209" s="24" t="inlineStr">
        <is>
          <t>Real</t>
        </is>
      </c>
    </row>
    <row r="1210" ht="15" customHeight="1" s="19">
      <c r="A1210" s="24" t="n">
        <v>6878</v>
      </c>
      <c r="B1210" s="25" t="inlineStr">
        <is>
          <t>CRM para Manufactura</t>
        </is>
      </c>
      <c r="C1210" s="24" t="inlineStr">
        <is>
          <t>ERP y CRM</t>
        </is>
      </c>
      <c r="D1210" s="25" t="inlineStr">
        <is>
          <t>Crm Especializado En Manufactura.</t>
        </is>
      </c>
      <c r="E1210" s="26" t="n">
        <v>2500</v>
      </c>
      <c r="F1210" s="27">
        <f>E1210/Config!$B$1</f>
        <v/>
      </c>
      <c r="G1210" s="24" t="inlineStr">
        <is>
          <t>Real</t>
        </is>
      </c>
    </row>
    <row r="1211" ht="15" customHeight="1" s="19">
      <c r="A1211" s="24" t="n">
        <v>6893</v>
      </c>
      <c r="B1211" s="25" t="inlineStr">
        <is>
          <t>CRM para Mayoristas (B2B)</t>
        </is>
      </c>
      <c r="C1211" s="24" t="inlineStr">
        <is>
          <t>ERP y CRM</t>
        </is>
      </c>
      <c r="D1211" s="25" t="inlineStr">
        <is>
          <t>Crm B2B Para Mayoristas.</t>
        </is>
      </c>
      <c r="E1211" s="26" t="n">
        <v>2700</v>
      </c>
      <c r="F1211" s="27">
        <f>E1211/Config!$B$1</f>
        <v/>
      </c>
      <c r="G1211" s="24" t="inlineStr">
        <is>
          <t>Real</t>
        </is>
      </c>
    </row>
    <row r="1212" ht="15" customHeight="1" s="19">
      <c r="A1212" s="24" t="n">
        <v>6875</v>
      </c>
      <c r="B1212" s="25" t="inlineStr">
        <is>
          <t>CRM para Minoristas</t>
        </is>
      </c>
      <c r="C1212" s="24" t="inlineStr">
        <is>
          <t>ERP y CRM</t>
        </is>
      </c>
      <c r="D1212" s="25" t="inlineStr">
        <is>
          <t>Crm Especializado En Minoristas.</t>
        </is>
      </c>
      <c r="E1212" s="26" t="n">
        <v>2300</v>
      </c>
      <c r="F1212" s="27">
        <f>E1212/Config!$B$1</f>
        <v/>
      </c>
      <c r="G1212" s="24" t="inlineStr">
        <is>
          <t>Real</t>
        </is>
      </c>
    </row>
    <row r="1213" ht="15" customHeight="1" s="19">
      <c r="A1213" s="24" t="n">
        <v>6890</v>
      </c>
      <c r="B1213" s="25" t="inlineStr">
        <is>
          <t>CRM para Minoristas (B2C)</t>
        </is>
      </c>
      <c r="C1213" s="24" t="inlineStr">
        <is>
          <t>ERP y CRM</t>
        </is>
      </c>
      <c r="D1213" s="25" t="inlineStr">
        <is>
          <t>Crm B2C Para Minoristas.</t>
        </is>
      </c>
      <c r="E1213" s="26" t="n">
        <v>2400</v>
      </c>
      <c r="F1213" s="27">
        <f>E1213/Config!$B$1</f>
        <v/>
      </c>
      <c r="G1213" s="24" t="inlineStr">
        <is>
          <t>Real</t>
        </is>
      </c>
    </row>
    <row r="1214" ht="15" customHeight="1" s="19">
      <c r="A1214" s="24" t="n">
        <v>6887</v>
      </c>
      <c r="B1214" s="25" t="inlineStr">
        <is>
          <t>CRM para Servicios</t>
        </is>
      </c>
      <c r="C1214" s="24" t="inlineStr">
        <is>
          <t>ERP y CRM</t>
        </is>
      </c>
      <c r="D1214" s="25" t="inlineStr">
        <is>
          <t>Crm Especializado En Servicios.</t>
        </is>
      </c>
      <c r="E1214" s="26" t="n">
        <v>2300</v>
      </c>
      <c r="F1214" s="27">
        <f>E1214/Config!$B$1</f>
        <v/>
      </c>
      <c r="G1214" s="24" t="inlineStr">
        <is>
          <t>Real</t>
        </is>
      </c>
    </row>
    <row r="1215" ht="23.25" customHeight="1" s="19">
      <c r="A1215" s="24" t="n">
        <v>7522</v>
      </c>
      <c r="B1215" s="25" t="inlineStr">
        <is>
          <t>Configuración de Usuarios: Gestiona tus usuarios de forma fácil y eficiente</t>
        </is>
      </c>
      <c r="C1215" s="24" t="inlineStr">
        <is>
          <t>ERP y CRM</t>
        </is>
      </c>
      <c r="D1215" s="25" t="inlineStr">
        <is>
          <t>Configuración de Usuarios: La clave para una experiencia de usuario personalizada</t>
        </is>
      </c>
      <c r="E1215" s="26" t="n">
        <v>300</v>
      </c>
      <c r="F1215" s="27">
        <f>E1215/Config!$B$1</f>
        <v/>
      </c>
      <c r="G1215" s="24" t="inlineStr">
        <is>
          <t>Real</t>
        </is>
      </c>
    </row>
    <row r="1216" ht="15" customHeight="1" s="19">
      <c r="A1216" s="24" t="n">
        <v>7406</v>
      </c>
      <c r="B1216" s="25" t="inlineStr">
        <is>
          <t>Consultoría Avanzada para Distribuidores y Mayoristas</t>
        </is>
      </c>
      <c r="C1216" s="24" t="inlineStr">
        <is>
          <t>ERP y CRM</t>
        </is>
      </c>
      <c r="D1216" s="25" t="n"/>
      <c r="E1216" s="26" t="n">
        <v>1400</v>
      </c>
      <c r="F1216" s="27">
        <f>E1216/Config!$B$1</f>
        <v/>
      </c>
      <c r="G1216" s="24" t="inlineStr">
        <is>
          <t>Real</t>
        </is>
      </c>
    </row>
    <row r="1217" ht="15" customHeight="1" s="19">
      <c r="A1217" s="24" t="n">
        <v>6020</v>
      </c>
      <c r="B1217" s="25" t="inlineStr">
        <is>
          <t>Consultoría CX</t>
        </is>
      </c>
      <c r="C1217" s="24" t="inlineStr">
        <is>
          <t>ERP y CRM</t>
        </is>
      </c>
      <c r="D1217" s="25" t="inlineStr">
        <is>
          <t>Experiencia Del Cliente</t>
        </is>
      </c>
      <c r="E1217" s="26" t="n">
        <v>2300</v>
      </c>
      <c r="F1217" s="27">
        <f>E1217/Config!$B$1</f>
        <v/>
      </c>
      <c r="G1217" s="28" t="inlineStr">
        <is>
          <t>Estimado (mediana de categoría)</t>
        </is>
      </c>
    </row>
    <row r="1218" ht="15" customHeight="1" s="19">
      <c r="A1218" s="24" t="n">
        <v>6747</v>
      </c>
      <c r="B1218" s="25" t="inlineStr">
        <is>
          <t>Consultoría En Optimización De Procesos</t>
        </is>
      </c>
      <c r="C1218" s="24" t="inlineStr">
        <is>
          <t>ERP y CRM</t>
        </is>
      </c>
      <c r="D1218" s="25" t="inlineStr">
        <is>
          <t>Optimización De Procesos.</t>
        </is>
      </c>
      <c r="E1218" s="26" t="n">
        <v>2200</v>
      </c>
      <c r="F1218" s="27">
        <f>E1218/Config!$B$1</f>
        <v/>
      </c>
      <c r="G1218" s="24" t="inlineStr">
        <is>
          <t>Real</t>
        </is>
      </c>
    </row>
    <row r="1219" ht="15" customHeight="1" s="19">
      <c r="A1219" s="24" t="n">
        <v>7403</v>
      </c>
      <c r="B1219" s="25" t="inlineStr">
        <is>
          <t>Consultoría Inicial para Distribuidores y Mayoristas</t>
        </is>
      </c>
      <c r="C1219" s="24" t="inlineStr">
        <is>
          <t>ERP y CRM</t>
        </is>
      </c>
      <c r="D1219" s="25" t="n"/>
      <c r="E1219" s="26" t="n">
        <v>800</v>
      </c>
      <c r="F1219" s="27">
        <f>E1219/Config!$B$1</f>
        <v/>
      </c>
      <c r="G1219" s="24" t="inlineStr">
        <is>
          <t>Real</t>
        </is>
      </c>
    </row>
    <row r="1220" ht="15" customHeight="1" s="19">
      <c r="A1220" s="24" t="n">
        <v>7408</v>
      </c>
      <c r="B1220" s="25" t="inlineStr">
        <is>
          <t>Consultoría Inicial para Servicios</t>
        </is>
      </c>
      <c r="C1220" s="24" t="inlineStr">
        <is>
          <t>ERP y CRM</t>
        </is>
      </c>
      <c r="D1220" s="25" t="n"/>
      <c r="E1220" s="26" t="n">
        <v>750</v>
      </c>
      <c r="F1220" s="27">
        <f>E1220/Config!$B$1</f>
        <v/>
      </c>
      <c r="G1220" s="24" t="inlineStr">
        <is>
          <t>Real</t>
        </is>
      </c>
    </row>
    <row r="1221" ht="15" customHeight="1" s="19">
      <c r="A1221" s="24" t="n">
        <v>7824</v>
      </c>
      <c r="B1221" s="25" t="inlineStr">
        <is>
          <t>Consultoría en Gestión de Proyectos</t>
        </is>
      </c>
      <c r="C1221" s="24" t="inlineStr">
        <is>
          <t>ERP y CRM</t>
        </is>
      </c>
      <c r="D1221" s="25" t="inlineStr">
        <is>
          <t>Consultoría En Proyectos</t>
        </is>
      </c>
      <c r="E1221" s="26" t="n">
        <v>2300</v>
      </c>
      <c r="F1221" s="27">
        <f>E1221/Config!$B$1</f>
        <v/>
      </c>
      <c r="G1221" s="28" t="inlineStr">
        <is>
          <t>Estimado (mediana de categoría)</t>
        </is>
      </c>
    </row>
    <row r="1222" ht="23.25" customHeight="1" s="19">
      <c r="A1222" s="24" t="n">
        <v>6033</v>
      </c>
      <c r="B1222" s="25" t="inlineStr">
        <is>
          <t>Consultoría en Gestión de la Experiencia del Cliente (CX)</t>
        </is>
      </c>
      <c r="C1222" s="24" t="inlineStr">
        <is>
          <t>ERP y CRM</t>
        </is>
      </c>
      <c r="D1222" s="25" t="inlineStr">
        <is>
          <t>Optimización De La Experiencia Del Cliente</t>
        </is>
      </c>
      <c r="E1222" s="26" t="n">
        <v>8500</v>
      </c>
      <c r="F1222" s="27">
        <f>E1222/Config!$B$1</f>
        <v/>
      </c>
      <c r="G1222" s="24" t="inlineStr">
        <is>
          <t>Real</t>
        </is>
      </c>
    </row>
    <row r="1223" ht="15" customHeight="1" s="19">
      <c r="A1223" s="24" t="n">
        <v>6764</v>
      </c>
      <c r="B1223" s="25" t="inlineStr">
        <is>
          <t>Consultoría en Innovación Tecnológica</t>
        </is>
      </c>
      <c r="C1223" s="24" t="inlineStr">
        <is>
          <t>ERP y CRM</t>
        </is>
      </c>
      <c r="D1223" s="25" t="inlineStr">
        <is>
          <t>Innovación Tecnológica</t>
        </is>
      </c>
      <c r="E1223" s="26" t="n">
        <v>8700</v>
      </c>
      <c r="F1223" s="27">
        <f>E1223/Config!$B$1</f>
        <v/>
      </c>
      <c r="G1223" s="24" t="inlineStr">
        <is>
          <t>Real</t>
        </is>
      </c>
    </row>
    <row r="1224" ht="15" customHeight="1" s="19">
      <c r="A1224" s="24" t="n">
        <v>6770</v>
      </c>
      <c r="B1224" s="25" t="inlineStr">
        <is>
          <t>Consultoría en Transformación Digital Asistida</t>
        </is>
      </c>
      <c r="C1224" s="24" t="inlineStr">
        <is>
          <t>ERP y CRM</t>
        </is>
      </c>
      <c r="D1224" s="25" t="inlineStr">
        <is>
          <t>Transformación Digital Asistida</t>
        </is>
      </c>
      <c r="E1224" s="26" t="n">
        <v>7300</v>
      </c>
      <c r="F1224" s="27">
        <f>E1224/Config!$B$1</f>
        <v/>
      </c>
      <c r="G1224" s="24" t="inlineStr">
        <is>
          <t>Real</t>
        </is>
      </c>
    </row>
    <row r="1225" ht="23.25" customHeight="1" s="19">
      <c r="A1225" s="24" t="n">
        <v>6772</v>
      </c>
      <c r="B1225" s="25" t="inlineStr">
        <is>
          <t>Consultoría en Transformación Digital y Desarrollo Digital</t>
        </is>
      </c>
      <c r="C1225" s="24" t="inlineStr">
        <is>
          <t>ERP y CRM</t>
        </is>
      </c>
      <c r="D1225" s="25" t="inlineStr">
        <is>
          <t>Transformación Digital Y Desarrollo Digital</t>
        </is>
      </c>
      <c r="E1225" s="26" t="n">
        <v>8300</v>
      </c>
      <c r="F1225" s="27">
        <f>E1225/Config!$B$1</f>
        <v/>
      </c>
      <c r="G1225" s="24" t="inlineStr">
        <is>
          <t>Real</t>
        </is>
      </c>
    </row>
    <row r="1226" ht="23.25" customHeight="1" s="19">
      <c r="A1226" s="24" t="n">
        <v>6773</v>
      </c>
      <c r="B1226" s="25" t="inlineStr">
        <is>
          <t>Consultoría en Transformación Organizacional y Desarrollo Digital</t>
        </is>
      </c>
      <c r="C1226" s="24" t="inlineStr">
        <is>
          <t>ERP y CRM</t>
        </is>
      </c>
      <c r="D1226" s="25" t="inlineStr">
        <is>
          <t>Transformación Organizacional Y Digital</t>
        </is>
      </c>
      <c r="E1226" s="26" t="n">
        <v>8800</v>
      </c>
      <c r="F1226" s="27">
        <f>E1226/Config!$B$1</f>
        <v/>
      </c>
      <c r="G1226" s="24" t="inlineStr">
        <is>
          <t>Real</t>
        </is>
      </c>
    </row>
    <row r="1227" ht="15" customHeight="1" s="19">
      <c r="A1227" s="24" t="n">
        <v>7615</v>
      </c>
      <c r="B1227" s="25" t="inlineStr">
        <is>
          <t>Consultoría en experiencia del cliente</t>
        </is>
      </c>
      <c r="C1227" s="24" t="inlineStr">
        <is>
          <t>ERP y CRM</t>
        </is>
      </c>
      <c r="D1227" s="25" t="inlineStr">
        <is>
          <t>Consultoría En Experiencia Del Cliente</t>
        </is>
      </c>
      <c r="E1227" s="26" t="n">
        <v>630</v>
      </c>
      <c r="F1227" s="27">
        <f>E1227/Config!$B$1</f>
        <v/>
      </c>
      <c r="G1227" s="24" t="inlineStr">
        <is>
          <t>Real</t>
        </is>
      </c>
    </row>
    <row r="1228" ht="23.25" customHeight="1" s="19">
      <c r="A1228" s="24" t="n">
        <v>5994</v>
      </c>
      <c r="B1228" s="25" t="inlineStr">
        <is>
          <t>Consultoría en gestión de la experiencia del cliente (CX) y optimización de procesos centrados en el usuario</t>
        </is>
      </c>
      <c r="C1228" s="24" t="inlineStr">
        <is>
          <t>ERP y CRM</t>
        </is>
      </c>
      <c r="D1228" s="25" t="inlineStr">
        <is>
          <t>Consultoría</t>
        </is>
      </c>
      <c r="E1228" s="26" t="n">
        <v>9000</v>
      </c>
      <c r="F1228" s="27">
        <f>E1228/Config!$B$1</f>
        <v/>
      </c>
      <c r="G1228" s="24" t="inlineStr">
        <is>
          <t>Real</t>
        </is>
      </c>
    </row>
    <row r="1229" ht="15" customHeight="1" s="19">
      <c r="A1229" s="24" t="n">
        <v>7614</v>
      </c>
      <c r="B1229" s="25" t="inlineStr">
        <is>
          <t>Consultoría en gestión de recursos humanos</t>
        </is>
      </c>
      <c r="C1229" s="24" t="inlineStr">
        <is>
          <t>ERP y CRM</t>
        </is>
      </c>
      <c r="D1229" s="25" t="inlineStr">
        <is>
          <t>Consultoría En Rrhh</t>
        </is>
      </c>
      <c r="E1229" s="26" t="n">
        <v>810</v>
      </c>
      <c r="F1229" s="27">
        <f>E1229/Config!$B$1</f>
        <v/>
      </c>
      <c r="G1229" s="24" t="inlineStr">
        <is>
          <t>Real</t>
        </is>
      </c>
    </row>
    <row r="1230" ht="15" customHeight="1" s="19">
      <c r="A1230" s="24" t="n">
        <v>7411</v>
      </c>
      <c r="B1230" s="25" t="inlineStr">
        <is>
          <t>Consultoría y Mantenimiento Completo para Servicios</t>
        </is>
      </c>
      <c r="C1230" s="24" t="inlineStr">
        <is>
          <t>ERP y CRM</t>
        </is>
      </c>
      <c r="D1230" s="25" t="n"/>
      <c r="E1230" s="26" t="n">
        <v>2000</v>
      </c>
      <c r="F1230" s="27">
        <f>E1230/Config!$B$1</f>
        <v/>
      </c>
      <c r="G1230" s="24" t="inlineStr">
        <is>
          <t>Real</t>
        </is>
      </c>
    </row>
    <row r="1231" ht="23.25" customHeight="1" s="19">
      <c r="A1231" s="24" t="n">
        <v>6317</v>
      </c>
      <c r="B1231" s="25" t="inlineStr">
        <is>
          <t>Contabilidad y finanzas</t>
        </is>
      </c>
      <c r="C1231" s="24" t="inlineStr">
        <is>
          <t>ERP y CRM</t>
        </is>
      </c>
      <c r="D1231" s="25" t="inlineStr">
        <is>
          <t>Servicios De Contabilidad Y Finanzas Para Empresas.</t>
        </is>
      </c>
      <c r="E1231" s="26" t="n">
        <v>1350</v>
      </c>
      <c r="F1231" s="27">
        <f>E1231/Config!$B$1</f>
        <v/>
      </c>
      <c r="G1231" s="24" t="inlineStr">
        <is>
          <t>Real</t>
        </is>
      </c>
    </row>
    <row r="1232" ht="23.25" customHeight="1" s="19">
      <c r="A1232" s="24" t="n">
        <v>8028</v>
      </c>
      <c r="B1232" s="25" t="inlineStr">
        <is>
          <t>Contabilidad y finanzas</t>
        </is>
      </c>
      <c r="C1232" s="24" t="inlineStr">
        <is>
          <t>ERP y CRM</t>
        </is>
      </c>
      <c r="D1232" s="25" t="inlineStr">
        <is>
          <t>Servicios De Contabilidad Y Finanzas Para Empresas.</t>
        </is>
      </c>
      <c r="E1232" s="26" t="n">
        <v>2300</v>
      </c>
      <c r="F1232" s="27">
        <f>E1232/Config!$B$1</f>
        <v/>
      </c>
      <c r="G1232" s="28" t="inlineStr">
        <is>
          <t>Estimado (mediana de categoría)</t>
        </is>
      </c>
    </row>
    <row r="1233" ht="15" customHeight="1" s="19">
      <c r="A1233" s="24" t="n">
        <v>7424</v>
      </c>
      <c r="B1233" s="25" t="inlineStr">
        <is>
          <t>Control de Calidad</t>
        </is>
      </c>
      <c r="C1233" s="24" t="inlineStr">
        <is>
          <t>ERP y CRM</t>
        </is>
      </c>
      <c r="D1233" s="25" t="n"/>
      <c r="E1233" s="26" t="n">
        <v>2300</v>
      </c>
      <c r="F1233" s="27">
        <f>E1233/Config!$B$1</f>
        <v/>
      </c>
      <c r="G1233" s="28" t="inlineStr">
        <is>
          <t>Estimado (mediana de categoría)</t>
        </is>
      </c>
    </row>
    <row r="1234" ht="15" customHeight="1" s="19">
      <c r="A1234" s="24" t="n">
        <v>7438</v>
      </c>
      <c r="B1234" s="25" t="inlineStr">
        <is>
          <t>Control de Calidad de Productos</t>
        </is>
      </c>
      <c r="C1234" s="24" t="inlineStr">
        <is>
          <t>ERP y CRM</t>
        </is>
      </c>
      <c r="D1234" s="25" t="n"/>
      <c r="E1234" s="26" t="n">
        <v>2300</v>
      </c>
      <c r="F1234" s="27">
        <f>E1234/Config!$B$1</f>
        <v/>
      </c>
      <c r="G1234" s="28" t="inlineStr">
        <is>
          <t>Estimado (mediana de categoría)</t>
        </is>
      </c>
    </row>
    <row r="1235" ht="15" customHeight="1" s="19">
      <c r="A1235" s="24" t="n">
        <v>7429</v>
      </c>
      <c r="B1235" s="25" t="inlineStr">
        <is>
          <t>Control de Pedidos</t>
        </is>
      </c>
      <c r="C1235" s="24" t="inlineStr">
        <is>
          <t>ERP y CRM</t>
        </is>
      </c>
      <c r="D1235" s="25" t="n"/>
      <c r="E1235" s="26" t="n">
        <v>2300</v>
      </c>
      <c r="F1235" s="27">
        <f>E1235/Config!$B$1</f>
        <v/>
      </c>
      <c r="G1235" s="28" t="inlineStr">
        <is>
          <t>Estimado (mediana de categoría)</t>
        </is>
      </c>
    </row>
    <row r="1236" ht="15" customHeight="1" s="19">
      <c r="A1236" s="24" t="n">
        <v>6834</v>
      </c>
      <c r="B1236" s="25" t="inlineStr">
        <is>
          <t>Código de contabilidad (compra de importación)</t>
        </is>
      </c>
      <c r="C1236" s="24" t="inlineStr">
        <is>
          <t>ERP y CRM</t>
        </is>
      </c>
      <c r="D1236" s="25" t="inlineStr">
        <is>
          <t>Contabilidad De Importación.</t>
        </is>
      </c>
      <c r="E1236" s="26" t="n">
        <v>450</v>
      </c>
      <c r="F1236" s="27">
        <f>E1236/Config!$B$1</f>
        <v/>
      </c>
      <c r="G1236" s="24" t="inlineStr">
        <is>
          <t>Real</t>
        </is>
      </c>
    </row>
    <row r="1237" ht="15" customHeight="1" s="19">
      <c r="A1237" s="24" t="n">
        <v>6763</v>
      </c>
      <c r="B1237" s="25" t="inlineStr">
        <is>
          <t>Desarrollo de Estrategias de Transformación Digital</t>
        </is>
      </c>
      <c r="C1237" s="24" t="inlineStr">
        <is>
          <t>ERP y CRM</t>
        </is>
      </c>
      <c r="D1237" s="25" t="inlineStr">
        <is>
          <t>Estrategias De Transformación Digital</t>
        </is>
      </c>
      <c r="E1237" s="26" t="n">
        <v>9500</v>
      </c>
      <c r="F1237" s="27">
        <f>E1237/Config!$B$1</f>
        <v/>
      </c>
      <c r="G1237" s="24" t="inlineStr">
        <is>
          <t>Real</t>
        </is>
      </c>
    </row>
    <row r="1238" ht="23.25" customHeight="1" s="19">
      <c r="A1238" s="24" t="n">
        <v>6598</v>
      </c>
      <c r="B1238" s="25" t="inlineStr">
        <is>
          <t>Desarrollo de Módulos Personalizados para ERP Odoo</t>
        </is>
      </c>
      <c r="C1238" s="24" t="inlineStr">
        <is>
          <t>ERP y CRM</t>
        </is>
      </c>
      <c r="D1238" s="25" t="inlineStr">
        <is>
          <t>Desarrollo De Módulos Personalizados Para Erp Odoo.</t>
        </is>
      </c>
      <c r="E1238" s="26" t="n">
        <v>12000</v>
      </c>
      <c r="F1238" s="27">
        <f>E1238/Config!$B$1</f>
        <v/>
      </c>
      <c r="G1238" s="24" t="inlineStr">
        <is>
          <t>Real</t>
        </is>
      </c>
    </row>
    <row r="1239" ht="23.25" customHeight="1" s="19">
      <c r="A1239" s="24" t="n">
        <v>8300</v>
      </c>
      <c r="B1239" s="25" t="inlineStr">
        <is>
          <t>Desarrollo de Módulos Personalizados para ERP Odoo</t>
        </is>
      </c>
      <c r="C1239" s="24" t="inlineStr">
        <is>
          <t>ERP y CRM</t>
        </is>
      </c>
      <c r="D1239" s="25" t="inlineStr">
        <is>
          <t>Desarrollo De Módulos Personalizados Para Erp Odoo.</t>
        </is>
      </c>
      <c r="E1239" s="26" t="n">
        <v>2300</v>
      </c>
      <c r="F1239" s="27">
        <f>E1239/Config!$B$1</f>
        <v/>
      </c>
      <c r="G1239" s="28" t="inlineStr">
        <is>
          <t>Estimado (mediana de categoría)</t>
        </is>
      </c>
    </row>
    <row r="1240" ht="15" customHeight="1" s="19">
      <c r="A1240" s="24" t="n">
        <v>6942</v>
      </c>
      <c r="B1240" s="25" t="inlineStr">
        <is>
          <t>Desarrollo de Soluciones Personalizadas de CRM</t>
        </is>
      </c>
      <c r="C1240" s="24" t="inlineStr">
        <is>
          <t>ERP y CRM</t>
        </is>
      </c>
      <c r="D1240" s="25" t="inlineStr">
        <is>
          <t>Soluciones Personalizadas Crm</t>
        </is>
      </c>
      <c r="E1240" s="26" t="n">
        <v>6800</v>
      </c>
      <c r="F1240" s="27">
        <f>E1240/Config!$B$1</f>
        <v/>
      </c>
      <c r="G1240" s="24" t="inlineStr">
        <is>
          <t>Real</t>
        </is>
      </c>
    </row>
    <row r="1241" ht="23.25" customHeight="1" s="19">
      <c r="A1241" s="24" t="n">
        <v>6601</v>
      </c>
      <c r="B1241" s="25" t="inlineStr">
        <is>
          <t>Desarrollo de Soluciones Personalizadas para ERP Microsoft Dynamics 365</t>
        </is>
      </c>
      <c r="C1241" s="24" t="inlineStr">
        <is>
          <t>ERP y CRM</t>
        </is>
      </c>
      <c r="D1241" s="25" t="inlineStr">
        <is>
          <t>Desarrollo De Soluciones Personalizadas Para Erp Microsoft Dynamics 365.</t>
        </is>
      </c>
      <c r="E1241" s="26" t="n">
        <v>30000</v>
      </c>
      <c r="F1241" s="27">
        <f>E1241/Config!$B$1</f>
        <v/>
      </c>
      <c r="G1241" s="24" t="inlineStr">
        <is>
          <t>Real</t>
        </is>
      </c>
    </row>
    <row r="1242" ht="23.25" customHeight="1" s="19">
      <c r="A1242" s="24" t="n">
        <v>8303</v>
      </c>
      <c r="B1242" s="25" t="inlineStr">
        <is>
          <t>Desarrollo de Soluciones Personalizadas para ERP Microsoft Dynamics 365</t>
        </is>
      </c>
      <c r="C1242" s="24" t="inlineStr">
        <is>
          <t>ERP y CRM</t>
        </is>
      </c>
      <c r="D1242" s="25" t="inlineStr">
        <is>
          <t>Desarrollo De Soluciones Personalizadas Para Erp Microsoft Dynamics 365.</t>
        </is>
      </c>
      <c r="E1242" s="26" t="n">
        <v>2300</v>
      </c>
      <c r="F1242" s="27">
        <f>E1242/Config!$B$1</f>
        <v/>
      </c>
      <c r="G1242" s="28" t="inlineStr">
        <is>
          <t>Estimado (mediana de categoría)</t>
        </is>
      </c>
    </row>
    <row r="1243" ht="23.25" customHeight="1" s="19">
      <c r="A1243" s="24" t="n">
        <v>6608</v>
      </c>
      <c r="B1243" s="25" t="inlineStr">
        <is>
          <t>Desarrollo de Soluciones Personalizadas para ERP Odoo</t>
        </is>
      </c>
      <c r="C1243" s="24" t="inlineStr">
        <is>
          <t>ERP y CRM</t>
        </is>
      </c>
      <c r="D1243" s="25" t="inlineStr">
        <is>
          <t>Desarrollo De Soluciones Personalizadas Para Erp Odoo.</t>
        </is>
      </c>
      <c r="E1243" s="26" t="n">
        <v>25000</v>
      </c>
      <c r="F1243" s="27">
        <f>E1243/Config!$B$1</f>
        <v/>
      </c>
      <c r="G1243" s="24" t="inlineStr">
        <is>
          <t>Real</t>
        </is>
      </c>
    </row>
    <row r="1244" ht="23.25" customHeight="1" s="19">
      <c r="A1244" s="24" t="n">
        <v>8310</v>
      </c>
      <c r="B1244" s="25" t="inlineStr">
        <is>
          <t>Desarrollo de Soluciones Personalizadas para ERP Odoo</t>
        </is>
      </c>
      <c r="C1244" s="24" t="inlineStr">
        <is>
          <t>ERP y CRM</t>
        </is>
      </c>
      <c r="D1244" s="25" t="inlineStr">
        <is>
          <t>Desarrollo De Soluciones Personalizadas Para Erp Odoo.</t>
        </is>
      </c>
      <c r="E1244" s="26" t="n">
        <v>2300</v>
      </c>
      <c r="F1244" s="27">
        <f>E1244/Config!$B$1</f>
        <v/>
      </c>
      <c r="G1244" s="28" t="inlineStr">
        <is>
          <t>Estimado (mediana de categoría)</t>
        </is>
      </c>
    </row>
    <row r="1245" ht="15" customHeight="1" s="19">
      <c r="A1245" s="24" t="n">
        <v>6927</v>
      </c>
      <c r="B1245" s="25" t="inlineStr">
        <is>
          <t>Desarrollo de software personalizado</t>
        </is>
      </c>
      <c r="C1245" s="24" t="inlineStr">
        <is>
          <t>ERP y CRM</t>
        </is>
      </c>
      <c r="D1245" s="25" t="inlineStr">
        <is>
          <t>Desarrollo De Software</t>
        </is>
      </c>
      <c r="E1245" s="26" t="n">
        <v>6500</v>
      </c>
      <c r="F1245" s="27">
        <f>E1245/Config!$B$1</f>
        <v/>
      </c>
      <c r="G1245" s="24" t="inlineStr">
        <is>
          <t>Real</t>
        </is>
      </c>
    </row>
    <row r="1246" ht="23.25" customHeight="1" s="19">
      <c r="A1246" s="24" t="n">
        <v>7640</v>
      </c>
      <c r="B1246" s="25" t="inlineStr">
        <is>
          <t>Desarrollo de soluciones de gestión de relaciones con proveedores</t>
        </is>
      </c>
      <c r="C1246" s="24" t="inlineStr">
        <is>
          <t>ERP y CRM</t>
        </is>
      </c>
      <c r="D1246" s="25" t="inlineStr">
        <is>
          <t>Soluciones De Gestión De Proveedores</t>
        </is>
      </c>
      <c r="E1246" s="26" t="n">
        <v>1170</v>
      </c>
      <c r="F1246" s="27">
        <f>E1246/Config!$B$1</f>
        <v/>
      </c>
      <c r="G1246" s="24" t="inlineStr">
        <is>
          <t>Real</t>
        </is>
      </c>
    </row>
    <row r="1247" ht="23.25" customHeight="1" s="19">
      <c r="A1247" s="24" t="n">
        <v>6362</v>
      </c>
      <c r="B1247" s="25" t="inlineStr">
        <is>
          <t>Desarrollo de soluciones de gestión documental</t>
        </is>
      </c>
      <c r="C1247" s="24" t="inlineStr">
        <is>
          <t>ERP y CRM</t>
        </is>
      </c>
      <c r="D1247" s="25" t="inlineStr">
        <is>
          <t>Servicios De Creación De Soluciones De Gestión Documental Y Archivo Electrónico De Información.</t>
        </is>
      </c>
      <c r="E1247" s="26" t="n">
        <v>14400</v>
      </c>
      <c r="F1247" s="27">
        <f>E1247/Config!$B$1</f>
        <v/>
      </c>
      <c r="G1247" s="24" t="inlineStr">
        <is>
          <t>Real</t>
        </is>
      </c>
    </row>
    <row r="1248" ht="23.25" customHeight="1" s="19">
      <c r="A1248" s="24" t="n">
        <v>8073</v>
      </c>
      <c r="B1248" s="25" t="inlineStr">
        <is>
          <t>Desarrollo de soluciones de gestión documental</t>
        </is>
      </c>
      <c r="C1248" s="24" t="inlineStr">
        <is>
          <t>ERP y CRM</t>
        </is>
      </c>
      <c r="D1248" s="25" t="inlineStr">
        <is>
          <t>Servicios De Creación De Soluciones De Gestión Documental Y Archivo Electrónico De Información.</t>
        </is>
      </c>
      <c r="E1248" s="26" t="n">
        <v>2300</v>
      </c>
      <c r="F1248" s="27">
        <f>E1248/Config!$B$1</f>
        <v/>
      </c>
      <c r="G1248" s="28" t="inlineStr">
        <is>
          <t>Estimado (mediana de categoría)</t>
        </is>
      </c>
    </row>
    <row r="1249" ht="23.25" customHeight="1" s="19">
      <c r="A1249" s="24" t="n">
        <v>6384</v>
      </c>
      <c r="B1249" s="25" t="inlineStr">
        <is>
          <t>Desarrollo de soluciones de gestión empresarial (ERP, CRM, etc.)</t>
        </is>
      </c>
      <c r="C1249" s="24" t="inlineStr">
        <is>
          <t>ERP y CRM</t>
        </is>
      </c>
      <c r="D1249" s="25" t="inlineStr">
        <is>
          <t>Servicios De Creación Y Personalización De Soluciones De Gestión Empresarial Integradas.</t>
        </is>
      </c>
      <c r="E1249" s="26" t="n">
        <v>22500</v>
      </c>
      <c r="F1249" s="27">
        <f>E1249/Config!$B$1</f>
        <v/>
      </c>
      <c r="G1249" s="24" t="inlineStr">
        <is>
          <t>Real</t>
        </is>
      </c>
    </row>
    <row r="1250" ht="23.25" customHeight="1" s="19">
      <c r="A1250" s="24" t="n">
        <v>8095</v>
      </c>
      <c r="B1250" s="25" t="inlineStr">
        <is>
          <t>Desarrollo de soluciones de gestión empresarial (ERP, CRM, etc.)</t>
        </is>
      </c>
      <c r="C1250" s="24" t="inlineStr">
        <is>
          <t>ERP y CRM</t>
        </is>
      </c>
      <c r="D1250" s="25" t="inlineStr">
        <is>
          <t>Servicios De Creación Y Personalización De Soluciones De Gestión Empresarial Integradas.</t>
        </is>
      </c>
      <c r="E1250" s="26" t="n">
        <v>2300</v>
      </c>
      <c r="F1250" s="27">
        <f>E1250/Config!$B$1</f>
        <v/>
      </c>
      <c r="G1250" s="28" t="inlineStr">
        <is>
          <t>Estimado (mediana de categoría)</t>
        </is>
      </c>
    </row>
    <row r="1251" ht="15" customHeight="1" s="19">
      <c r="A1251" s="24" t="n">
        <v>6880</v>
      </c>
      <c r="B1251" s="25" t="inlineStr">
        <is>
          <t>ERP para Agroindustria</t>
        </is>
      </c>
      <c r="C1251" s="24" t="inlineStr">
        <is>
          <t>ERP y CRM</t>
        </is>
      </c>
      <c r="D1251" s="25" t="inlineStr">
        <is>
          <t>Erp Para Agroindustria.</t>
        </is>
      </c>
      <c r="E1251" s="26" t="n">
        <v>2800</v>
      </c>
      <c r="F1251" s="27">
        <f>E1251/Config!$B$1</f>
        <v/>
      </c>
      <c r="G1251" s="24" t="inlineStr">
        <is>
          <t>Real</t>
        </is>
      </c>
    </row>
    <row r="1252" ht="15" customHeight="1" s="19">
      <c r="A1252" s="24" t="n">
        <v>6883</v>
      </c>
      <c r="B1252" s="25" t="inlineStr">
        <is>
          <t>ERP para Distribuidores y Mayoristas</t>
        </is>
      </c>
      <c r="C1252" s="24" t="inlineStr">
        <is>
          <t>ERP y CRM</t>
        </is>
      </c>
      <c r="D1252" s="25" t="inlineStr">
        <is>
          <t>Erp Para Distribuidores Y Mayoristas.</t>
        </is>
      </c>
      <c r="E1252" s="26" t="n">
        <v>2900</v>
      </c>
      <c r="F1252" s="27">
        <f>E1252/Config!$B$1</f>
        <v/>
      </c>
      <c r="G1252" s="24" t="inlineStr">
        <is>
          <t>Real</t>
        </is>
      </c>
    </row>
    <row r="1253" ht="15" customHeight="1" s="19">
      <c r="A1253" s="24" t="n">
        <v>6877</v>
      </c>
      <c r="B1253" s="25" t="inlineStr">
        <is>
          <t>ERP para Manufactura</t>
        </is>
      </c>
      <c r="C1253" s="24" t="inlineStr">
        <is>
          <t>ERP y CRM</t>
        </is>
      </c>
      <c r="D1253" s="25" t="inlineStr">
        <is>
          <t>Erp Para Manufactura.</t>
        </is>
      </c>
      <c r="E1253" s="26" t="n">
        <v>3000</v>
      </c>
      <c r="F1253" s="27">
        <f>E1253/Config!$B$1</f>
        <v/>
      </c>
      <c r="G1253" s="24" t="inlineStr">
        <is>
          <t>Real</t>
        </is>
      </c>
    </row>
    <row r="1254" ht="15" customHeight="1" s="19">
      <c r="A1254" s="24" t="n">
        <v>6892</v>
      </c>
      <c r="B1254" s="25" t="inlineStr">
        <is>
          <t>ERP para Mayoristas (B2B)</t>
        </is>
      </c>
      <c r="C1254" s="24" t="inlineStr">
        <is>
          <t>ERP y CRM</t>
        </is>
      </c>
      <c r="D1254" s="25" t="inlineStr">
        <is>
          <t>Erp B2B Para Mayoristas.</t>
        </is>
      </c>
      <c r="E1254" s="26" t="n">
        <v>3000</v>
      </c>
      <c r="F1254" s="27">
        <f>E1254/Config!$B$1</f>
        <v/>
      </c>
      <c r="G1254" s="24" t="inlineStr">
        <is>
          <t>Real</t>
        </is>
      </c>
    </row>
    <row r="1255" ht="15" customHeight="1" s="19">
      <c r="A1255" s="24" t="n">
        <v>6874</v>
      </c>
      <c r="B1255" s="25" t="inlineStr">
        <is>
          <t>ERP para Minoristas</t>
        </is>
      </c>
      <c r="C1255" s="24" t="inlineStr">
        <is>
          <t>ERP y CRM</t>
        </is>
      </c>
      <c r="D1255" s="25" t="inlineStr">
        <is>
          <t>Erp Para Sector Minorista.</t>
        </is>
      </c>
      <c r="E1255" s="26" t="n">
        <v>2700</v>
      </c>
      <c r="F1255" s="27">
        <f>E1255/Config!$B$1</f>
        <v/>
      </c>
      <c r="G1255" s="24" t="inlineStr">
        <is>
          <t>Real</t>
        </is>
      </c>
    </row>
    <row r="1256" ht="15" customHeight="1" s="19">
      <c r="A1256" s="24" t="n">
        <v>6889</v>
      </c>
      <c r="B1256" s="25" t="inlineStr">
        <is>
          <t>ERP para Minoristas (B2C)</t>
        </is>
      </c>
      <c r="C1256" s="24" t="inlineStr">
        <is>
          <t>ERP y CRM</t>
        </is>
      </c>
      <c r="D1256" s="25" t="inlineStr">
        <is>
          <t>Erp B2C Para Minoristas.</t>
        </is>
      </c>
      <c r="E1256" s="26" t="n">
        <v>2800</v>
      </c>
      <c r="F1256" s="27">
        <f>E1256/Config!$B$1</f>
        <v/>
      </c>
      <c r="G1256" s="24" t="inlineStr">
        <is>
          <t>Real</t>
        </is>
      </c>
    </row>
    <row r="1257" ht="15" customHeight="1" s="19">
      <c r="A1257" s="24" t="n">
        <v>6886</v>
      </c>
      <c r="B1257" s="25" t="inlineStr">
        <is>
          <t>ERP para Servicios</t>
        </is>
      </c>
      <c r="C1257" s="24" t="inlineStr">
        <is>
          <t>ERP y CRM</t>
        </is>
      </c>
      <c r="D1257" s="25" t="inlineStr">
        <is>
          <t>Erp Para Servicios.</t>
        </is>
      </c>
      <c r="E1257" s="26" t="n">
        <v>2700</v>
      </c>
      <c r="F1257" s="27">
        <f>E1257/Config!$B$1</f>
        <v/>
      </c>
      <c r="G1257" s="24" t="inlineStr">
        <is>
          <t>Real</t>
        </is>
      </c>
    </row>
    <row r="1258" ht="15" customHeight="1" s="19">
      <c r="A1258" s="24" t="n">
        <v>6852</v>
      </c>
      <c r="B1258" s="25" t="inlineStr">
        <is>
          <t>ERP y CRM</t>
        </is>
      </c>
      <c r="C1258" s="24" t="inlineStr">
        <is>
          <t>ERP y CRM</t>
        </is>
      </c>
      <c r="D1258" s="25" t="n"/>
      <c r="E1258" s="26" t="n">
        <v>15</v>
      </c>
      <c r="F1258" s="27">
        <f>E1258/Config!$B$1</f>
        <v/>
      </c>
      <c r="G1258" s="24" t="inlineStr">
        <is>
          <t>Real</t>
        </is>
      </c>
    </row>
    <row r="1259" ht="45.75" customHeight="1" s="19">
      <c r="A1259" s="24" t="n">
        <v>7521</v>
      </c>
      <c r="B1259" s="25" t="inlineStr">
        <is>
          <t>Evaluación Inicial de Sistemas: Diagnóstico y Optimización para un Rendimiento Óptimo</t>
        </is>
      </c>
      <c r="C1259" s="24" t="inlineStr">
        <is>
          <t>ERP y CRM</t>
        </is>
      </c>
      <c r="D1259" s="25" t="inlineStr">
        <is>
          <t>Evaluación Inicial de Sistemas: Solución integral para optimizar tus operaciones de TI, identificando áreas de mejora y brindando recomendaciones personalizadas.</t>
        </is>
      </c>
      <c r="E1259" s="26" t="n">
        <v>600</v>
      </c>
      <c r="F1259" s="27">
        <f>E1259/Config!$B$1</f>
        <v/>
      </c>
      <c r="G1259" s="24" t="inlineStr">
        <is>
          <t>Real</t>
        </is>
      </c>
    </row>
    <row r="1260" ht="23.25" customHeight="1" s="19">
      <c r="A1260" s="24" t="n">
        <v>6337</v>
      </c>
      <c r="B1260" s="25" t="inlineStr">
        <is>
          <t>Evaluación de desempeño</t>
        </is>
      </c>
      <c r="C1260" s="24" t="inlineStr">
        <is>
          <t>ERP y CRM</t>
        </is>
      </c>
      <c r="D1260" s="25" t="inlineStr">
        <is>
          <t>Servicios De Evaluación Y Análisis Del Desempeño Del Personal.</t>
        </is>
      </c>
      <c r="E1260" s="26" t="n">
        <v>720</v>
      </c>
      <c r="F1260" s="27">
        <f>E1260/Config!$B$1</f>
        <v/>
      </c>
      <c r="G1260" s="24" t="inlineStr">
        <is>
          <t>Real</t>
        </is>
      </c>
    </row>
    <row r="1261" ht="23.25" customHeight="1" s="19">
      <c r="A1261" s="24" t="n">
        <v>8048</v>
      </c>
      <c r="B1261" s="25" t="inlineStr">
        <is>
          <t>Evaluación de desempeño</t>
        </is>
      </c>
      <c r="C1261" s="24" t="inlineStr">
        <is>
          <t>ERP y CRM</t>
        </is>
      </c>
      <c r="D1261" s="25" t="inlineStr">
        <is>
          <t>Servicios De Evaluación Y Análisis Del Desempeño Del Personal.</t>
        </is>
      </c>
      <c r="E1261" s="26" t="n">
        <v>2300</v>
      </c>
      <c r="F1261" s="27">
        <f>E1261/Config!$B$1</f>
        <v/>
      </c>
      <c r="G1261" s="28" t="inlineStr">
        <is>
          <t>Estimado (mediana de categoría)</t>
        </is>
      </c>
    </row>
    <row r="1262" ht="15" customHeight="1" s="19">
      <c r="A1262" s="24" t="n">
        <v>6066</v>
      </c>
      <c r="B1262" s="25" t="inlineStr">
        <is>
          <t>Facturación Electrónica</t>
        </is>
      </c>
      <c r="C1262" s="24" t="inlineStr">
        <is>
          <t>ERP y CRM</t>
        </is>
      </c>
      <c r="D1262" s="25" t="inlineStr">
        <is>
          <t>Automatización De Facturación</t>
        </is>
      </c>
      <c r="E1262" s="26" t="n">
        <v>2300</v>
      </c>
      <c r="F1262" s="27">
        <f>E1262/Config!$B$1</f>
        <v/>
      </c>
      <c r="G1262" s="28" t="inlineStr">
        <is>
          <t>Estimado (mediana de categoría)</t>
        </is>
      </c>
    </row>
    <row r="1263" ht="15" customHeight="1" s="19">
      <c r="A1263" s="24" t="n">
        <v>7435</v>
      </c>
      <c r="B1263" s="25" t="inlineStr">
        <is>
          <t>Facturación de Servicios</t>
        </is>
      </c>
      <c r="C1263" s="24" t="inlineStr">
        <is>
          <t>ERP y CRM</t>
        </is>
      </c>
      <c r="D1263" s="25" t="n"/>
      <c r="E1263" s="26" t="n">
        <v>2300</v>
      </c>
      <c r="F1263" s="27">
        <f>E1263/Config!$B$1</f>
        <v/>
      </c>
      <c r="G1263" s="28" t="inlineStr">
        <is>
          <t>Estimado (mediana de categoría)</t>
        </is>
      </c>
    </row>
    <row r="1264" ht="15" customHeight="1" s="19">
      <c r="A1264" s="24" t="n">
        <v>7415</v>
      </c>
      <c r="B1264" s="25" t="inlineStr">
        <is>
          <t>Fidelización de Clientes</t>
        </is>
      </c>
      <c r="C1264" s="24" t="inlineStr">
        <is>
          <t>ERP y CRM</t>
        </is>
      </c>
      <c r="D1264" s="25" t="n"/>
      <c r="E1264" s="26" t="n">
        <v>2300</v>
      </c>
      <c r="F1264" s="27">
        <f>E1264/Config!$B$1</f>
        <v/>
      </c>
      <c r="G1264" s="28" t="inlineStr">
        <is>
          <t>Estimado (mediana de categoría)</t>
        </is>
      </c>
    </row>
    <row r="1265" ht="45.75" customHeight="1" s="19">
      <c r="A1265" s="24" t="n">
        <v>7545</v>
      </c>
      <c r="B1265" s="25" t="inlineStr">
        <is>
          <t>Gestión Avanzada de Datos: Centraliza, Analiza y Automatiza tus Procesos para el Éxito Empresarial</t>
        </is>
      </c>
      <c r="C1265" s="24" t="inlineStr">
        <is>
          <t>ERP y CRM</t>
        </is>
      </c>
      <c r="D1265" s="25" t="inlineStr">
        <is>
          <t>Gestión Avanzada de Datos: Centraliza, estandariza, procesa, analiza y visualiza datos para mejorar la toma de decisiones, la eficiencia y la ventaja competitiva.</t>
        </is>
      </c>
      <c r="E1265" s="26" t="n">
        <v>0</v>
      </c>
      <c r="F1265" s="27">
        <f>E1265/Config!$B$1</f>
        <v/>
      </c>
      <c r="G1265" s="24" t="inlineStr">
        <is>
          <t>Real</t>
        </is>
      </c>
    </row>
    <row r="1266" ht="15" customHeight="1" s="19">
      <c r="A1266" s="24" t="n">
        <v>6060</v>
      </c>
      <c r="B1266" s="25" t="inlineStr">
        <is>
          <t>Gestión Inteligente de Inventarios y Abastecimiento</t>
        </is>
      </c>
      <c r="C1266" s="24" t="inlineStr">
        <is>
          <t>ERP y CRM</t>
        </is>
      </c>
      <c r="D1266" s="25" t="inlineStr">
        <is>
          <t>Gestión Y Reabastecimiento De Inventarios.</t>
        </is>
      </c>
      <c r="E1266" s="26" t="n">
        <v>4500</v>
      </c>
      <c r="F1266" s="27">
        <f>E1266/Config!$B$1</f>
        <v/>
      </c>
      <c r="G1266" s="24" t="inlineStr">
        <is>
          <t>Real</t>
        </is>
      </c>
    </row>
    <row r="1267" ht="15" customHeight="1" s="19">
      <c r="A1267" s="24" t="n">
        <v>7795</v>
      </c>
      <c r="B1267" s="25" t="inlineStr">
        <is>
          <t>Gestión Inteligente de Inventarios y Abastecimiento</t>
        </is>
      </c>
      <c r="C1267" s="24" t="inlineStr">
        <is>
          <t>ERP y CRM</t>
        </is>
      </c>
      <c r="D1267" s="25" t="inlineStr">
        <is>
          <t>Gestión Y Reabastecimiento De Inventarios.</t>
        </is>
      </c>
      <c r="E1267" s="26" t="n">
        <v>2300</v>
      </c>
      <c r="F1267" s="27">
        <f>E1267/Config!$B$1</f>
        <v/>
      </c>
      <c r="G1267" s="28" t="inlineStr">
        <is>
          <t>Estimado (mediana de categoría)</t>
        </is>
      </c>
    </row>
    <row r="1268" ht="15" customHeight="1" s="19">
      <c r="A1268" s="24" t="n">
        <v>6168</v>
      </c>
      <c r="B1268" s="25" t="inlineStr">
        <is>
          <t>Gestión Inteligente de Inventarios y Logística</t>
        </is>
      </c>
      <c r="C1268" s="24" t="inlineStr">
        <is>
          <t>ERP y CRM</t>
        </is>
      </c>
      <c r="D1268" s="25" t="inlineStr">
        <is>
          <t>Gestión De Inventarios Y Logística</t>
        </is>
      </c>
      <c r="E1268" s="26" t="n">
        <v>5500</v>
      </c>
      <c r="F1268" s="27">
        <f>E1268/Config!$B$1</f>
        <v/>
      </c>
      <c r="G1268" s="24" t="inlineStr">
        <is>
          <t>Real</t>
        </is>
      </c>
    </row>
    <row r="1269" ht="15" customHeight="1" s="19">
      <c r="A1269" s="24" t="n">
        <v>7892</v>
      </c>
      <c r="B1269" s="25" t="inlineStr">
        <is>
          <t>Gestión Inteligente de Inventarios y Logística</t>
        </is>
      </c>
      <c r="C1269" s="24" t="inlineStr">
        <is>
          <t>ERP y CRM</t>
        </is>
      </c>
      <c r="D1269" s="25" t="inlineStr">
        <is>
          <t>Gestión De Inventarios Y Logística</t>
        </is>
      </c>
      <c r="E1269" s="26" t="n">
        <v>2300</v>
      </c>
      <c r="F1269" s="27">
        <f>E1269/Config!$B$1</f>
        <v/>
      </c>
      <c r="G1269" s="28" t="inlineStr">
        <is>
          <t>Estimado (mediana de categoría)</t>
        </is>
      </c>
    </row>
    <row r="1270" ht="15" customHeight="1" s="19">
      <c r="A1270" s="24" t="n">
        <v>6126</v>
      </c>
      <c r="B1270" s="25" t="inlineStr">
        <is>
          <t>Gestión de Calidad</t>
        </is>
      </c>
      <c r="C1270" s="24" t="inlineStr">
        <is>
          <t>ERP y CRM</t>
        </is>
      </c>
      <c r="D1270" s="25" t="inlineStr">
        <is>
          <t>Gestión De Calidad</t>
        </is>
      </c>
      <c r="E1270" s="26" t="n">
        <v>3900</v>
      </c>
      <c r="F1270" s="27">
        <f>E1270/Config!$B$1</f>
        <v/>
      </c>
      <c r="G1270" s="24" t="inlineStr">
        <is>
          <t>Real</t>
        </is>
      </c>
    </row>
    <row r="1271" ht="15" customHeight="1" s="19">
      <c r="A1271" s="24" t="n">
        <v>7850</v>
      </c>
      <c r="B1271" s="25" t="inlineStr">
        <is>
          <t>Gestión de Calidad</t>
        </is>
      </c>
      <c r="C1271" s="24" t="inlineStr">
        <is>
          <t>ERP y CRM</t>
        </is>
      </c>
      <c r="D1271" s="25" t="inlineStr">
        <is>
          <t>Gestión De Calidad</t>
        </is>
      </c>
      <c r="E1271" s="26" t="n">
        <v>2300</v>
      </c>
      <c r="F1271" s="27">
        <f>E1271/Config!$B$1</f>
        <v/>
      </c>
      <c r="G1271" s="28" t="inlineStr">
        <is>
          <t>Estimado (mediana de categoría)</t>
        </is>
      </c>
    </row>
    <row r="1272" ht="15" customHeight="1" s="19">
      <c r="A1272" s="24" t="n">
        <v>6121</v>
      </c>
      <c r="B1272" s="25" t="inlineStr">
        <is>
          <t>Gestión de Compras</t>
        </is>
      </c>
      <c r="C1272" s="24" t="inlineStr">
        <is>
          <t>ERP y CRM</t>
        </is>
      </c>
      <c r="D1272" s="25" t="inlineStr">
        <is>
          <t>Gestión De Compras</t>
        </is>
      </c>
      <c r="E1272" s="26" t="n">
        <v>3800</v>
      </c>
      <c r="F1272" s="27">
        <f>E1272/Config!$B$1</f>
        <v/>
      </c>
      <c r="G1272" s="24" t="inlineStr">
        <is>
          <t>Real</t>
        </is>
      </c>
    </row>
    <row r="1273" ht="15" customHeight="1" s="19">
      <c r="A1273" s="24" t="n">
        <v>7845</v>
      </c>
      <c r="B1273" s="25" t="inlineStr">
        <is>
          <t>Gestión de Compras</t>
        </is>
      </c>
      <c r="C1273" s="24" t="inlineStr">
        <is>
          <t>ERP y CRM</t>
        </is>
      </c>
      <c r="D1273" s="25" t="inlineStr">
        <is>
          <t>Gestión De Compras</t>
        </is>
      </c>
      <c r="E1273" s="26" t="n">
        <v>2300</v>
      </c>
      <c r="F1273" s="27">
        <f>E1273/Config!$B$1</f>
        <v/>
      </c>
      <c r="G1273" s="28" t="inlineStr">
        <is>
          <t>Estimado (mediana de categoría)</t>
        </is>
      </c>
    </row>
    <row r="1274" ht="15" customHeight="1" s="19">
      <c r="A1274" s="24" t="n">
        <v>6124</v>
      </c>
      <c r="B1274" s="25" t="inlineStr">
        <is>
          <t>Gestión de Documentos</t>
        </is>
      </c>
      <c r="C1274" s="24" t="inlineStr">
        <is>
          <t>ERP y CRM</t>
        </is>
      </c>
      <c r="D1274" s="25" t="inlineStr">
        <is>
          <t>Gestión De Documentos</t>
        </is>
      </c>
      <c r="E1274" s="26" t="n">
        <v>3800</v>
      </c>
      <c r="F1274" s="27">
        <f>E1274/Config!$B$1</f>
        <v/>
      </c>
      <c r="G1274" s="24" t="inlineStr">
        <is>
          <t>Real</t>
        </is>
      </c>
    </row>
    <row r="1275" ht="15" customHeight="1" s="19">
      <c r="A1275" s="24" t="n">
        <v>7848</v>
      </c>
      <c r="B1275" s="25" t="inlineStr">
        <is>
          <t>Gestión de Documentos</t>
        </is>
      </c>
      <c r="C1275" s="24" t="inlineStr">
        <is>
          <t>ERP y CRM</t>
        </is>
      </c>
      <c r="D1275" s="25" t="inlineStr">
        <is>
          <t>Gestión De Documentos</t>
        </is>
      </c>
      <c r="E1275" s="26" t="n">
        <v>2300</v>
      </c>
      <c r="F1275" s="27">
        <f>E1275/Config!$B$1</f>
        <v/>
      </c>
      <c r="G1275" s="28" t="inlineStr">
        <is>
          <t>Estimado (mediana de categoría)</t>
        </is>
      </c>
    </row>
    <row r="1276" ht="15" customHeight="1" s="19">
      <c r="A1276" s="24" t="n">
        <v>6068</v>
      </c>
      <c r="B1276" s="25" t="inlineStr">
        <is>
          <t>Gestión de Inventarios</t>
        </is>
      </c>
      <c r="C1276" s="24" t="inlineStr">
        <is>
          <t>ERP y CRM</t>
        </is>
      </c>
      <c r="D1276" s="25" t="inlineStr">
        <is>
          <t>Automatización De Inventarios</t>
        </is>
      </c>
      <c r="E1276" s="26" t="n">
        <v>2300</v>
      </c>
      <c r="F1276" s="27">
        <f>E1276/Config!$B$1</f>
        <v/>
      </c>
      <c r="G1276" s="28" t="inlineStr">
        <is>
          <t>Estimado (mediana de categoría)</t>
        </is>
      </c>
    </row>
    <row r="1277" ht="15" customHeight="1" s="19">
      <c r="A1277" s="24" t="n">
        <v>7414</v>
      </c>
      <c r="B1277" s="25" t="inlineStr">
        <is>
          <t>Gestión de Inventarios</t>
        </is>
      </c>
      <c r="C1277" s="24" t="inlineStr">
        <is>
          <t>ERP y CRM</t>
        </is>
      </c>
      <c r="D1277" s="25" t="n"/>
      <c r="E1277" s="26" t="n">
        <v>2300</v>
      </c>
      <c r="F1277" s="27">
        <f>E1277/Config!$B$1</f>
        <v/>
      </c>
      <c r="G1277" s="28" t="inlineStr">
        <is>
          <t>Estimado (mediana de categoría)</t>
        </is>
      </c>
    </row>
    <row r="1278" ht="15" customHeight="1" s="19">
      <c r="A1278" s="24" t="n">
        <v>7428</v>
      </c>
      <c r="B1278" s="25" t="inlineStr">
        <is>
          <t>Gestión de Inventarios Mayoristas</t>
        </is>
      </c>
      <c r="C1278" s="24" t="inlineStr">
        <is>
          <t>ERP y CRM</t>
        </is>
      </c>
      <c r="D1278" s="25" t="n"/>
      <c r="E1278" s="26" t="n">
        <v>2300</v>
      </c>
      <c r="F1278" s="27">
        <f>E1278/Config!$B$1</f>
        <v/>
      </c>
      <c r="G1278" s="28" t="inlineStr">
        <is>
          <t>Estimado (mediana de categoría)</t>
        </is>
      </c>
    </row>
    <row r="1279" ht="15" customHeight="1" s="19">
      <c r="A1279" s="24" t="n">
        <v>6127</v>
      </c>
      <c r="B1279" s="25" t="inlineStr">
        <is>
          <t>Gestión de Mantenimiento</t>
        </is>
      </c>
      <c r="C1279" s="24" t="inlineStr">
        <is>
          <t>ERP y CRM</t>
        </is>
      </c>
      <c r="D1279" s="25" t="inlineStr">
        <is>
          <t>Gestión De Mantenimiento</t>
        </is>
      </c>
      <c r="E1279" s="26" t="n">
        <v>4000</v>
      </c>
      <c r="F1279" s="27">
        <f>E1279/Config!$B$1</f>
        <v/>
      </c>
      <c r="G1279" s="24" t="inlineStr">
        <is>
          <t>Real</t>
        </is>
      </c>
    </row>
    <row r="1280" ht="15" customHeight="1" s="19">
      <c r="A1280" s="24" t="n">
        <v>7851</v>
      </c>
      <c r="B1280" s="25" t="inlineStr">
        <is>
          <t>Gestión de Mantenimiento</t>
        </is>
      </c>
      <c r="C1280" s="24" t="inlineStr">
        <is>
          <t>ERP y CRM</t>
        </is>
      </c>
      <c r="D1280" s="25" t="inlineStr">
        <is>
          <t>Gestión De Mantenimiento</t>
        </is>
      </c>
      <c r="E1280" s="26" t="n">
        <v>2300</v>
      </c>
      <c r="F1280" s="27">
        <f>E1280/Config!$B$1</f>
        <v/>
      </c>
      <c r="G1280" s="28" t="inlineStr">
        <is>
          <t>Estimado (mediana de categoría)</t>
        </is>
      </c>
    </row>
    <row r="1281" ht="15" customHeight="1" s="19">
      <c r="A1281" s="24" t="n">
        <v>6122</v>
      </c>
      <c r="B1281" s="25" t="inlineStr">
        <is>
          <t>Gestión de Proveedores</t>
        </is>
      </c>
      <c r="C1281" s="24" t="inlineStr">
        <is>
          <t>ERP y CRM</t>
        </is>
      </c>
      <c r="D1281" s="25" t="inlineStr">
        <is>
          <t>Gestión De Proveedores</t>
        </is>
      </c>
      <c r="E1281" s="26" t="n">
        <v>3700</v>
      </c>
      <c r="F1281" s="27">
        <f>E1281/Config!$B$1</f>
        <v/>
      </c>
      <c r="G1281" s="24" t="inlineStr">
        <is>
          <t>Real</t>
        </is>
      </c>
    </row>
    <row r="1282" ht="15" customHeight="1" s="19">
      <c r="A1282" s="24" t="n">
        <v>7431</v>
      </c>
      <c r="B1282" s="25" t="inlineStr">
        <is>
          <t>Gestión de Proveedores</t>
        </is>
      </c>
      <c r="C1282" s="24" t="inlineStr">
        <is>
          <t>ERP y CRM</t>
        </is>
      </c>
      <c r="D1282" s="25" t="n"/>
      <c r="E1282" s="26" t="n">
        <v>2300</v>
      </c>
      <c r="F1282" s="27">
        <f>E1282/Config!$B$1</f>
        <v/>
      </c>
      <c r="G1282" s="28" t="inlineStr">
        <is>
          <t>Estimado (mediana de categoría)</t>
        </is>
      </c>
    </row>
    <row r="1283" ht="15" customHeight="1" s="19">
      <c r="A1283" s="24" t="n">
        <v>7846</v>
      </c>
      <c r="B1283" s="25" t="inlineStr">
        <is>
          <t>Gestión de Proveedores</t>
        </is>
      </c>
      <c r="C1283" s="24" t="inlineStr">
        <is>
          <t>ERP y CRM</t>
        </is>
      </c>
      <c r="D1283" s="25" t="inlineStr">
        <is>
          <t>Gestión De Proveedores</t>
        </is>
      </c>
      <c r="E1283" s="26" t="n">
        <v>2300</v>
      </c>
      <c r="F1283" s="27">
        <f>E1283/Config!$B$1</f>
        <v/>
      </c>
      <c r="G1283" s="28" t="inlineStr">
        <is>
          <t>Estimado (mediana de categoría)</t>
        </is>
      </c>
    </row>
    <row r="1284" ht="15" customHeight="1" s="19">
      <c r="A1284" s="24" t="n">
        <v>6017</v>
      </c>
      <c r="B1284" s="25" t="inlineStr">
        <is>
          <t>Gestión de Proyectos</t>
        </is>
      </c>
      <c r="C1284" s="24" t="inlineStr">
        <is>
          <t>ERP y CRM</t>
        </is>
      </c>
      <c r="D1284" s="25" t="inlineStr">
        <is>
          <t>Gestión De Proyectos</t>
        </is>
      </c>
      <c r="E1284" s="26" t="n">
        <v>2300</v>
      </c>
      <c r="F1284" s="27">
        <f>E1284/Config!$B$1</f>
        <v/>
      </c>
      <c r="G1284" s="28" t="inlineStr">
        <is>
          <t>Estimado (mediana de categoría)</t>
        </is>
      </c>
    </row>
    <row r="1285" ht="15" customHeight="1" s="19">
      <c r="A1285" s="24" t="n">
        <v>7433</v>
      </c>
      <c r="B1285" s="25" t="inlineStr">
        <is>
          <t>Gestión de Proyectos</t>
        </is>
      </c>
      <c r="C1285" s="24" t="inlineStr">
        <is>
          <t>ERP y CRM</t>
        </is>
      </c>
      <c r="D1285" s="25" t="n"/>
      <c r="E1285" s="26" t="n">
        <v>2300</v>
      </c>
      <c r="F1285" s="27">
        <f>E1285/Config!$B$1</f>
        <v/>
      </c>
      <c r="G1285" s="28" t="inlineStr">
        <is>
          <t>Estimado (mediana de categoría)</t>
        </is>
      </c>
    </row>
    <row r="1286" ht="45.75" customHeight="1" s="19">
      <c r="A1286" s="24" t="n">
        <v>7515</v>
      </c>
      <c r="B1286" s="25" t="inlineStr">
        <is>
          <t>Gestión de Proyectos Adicionales: Optimiza tus proyectos con herramientas avanzadas</t>
        </is>
      </c>
      <c r="C1286" s="24" t="inlineStr">
        <is>
          <t>ERP y CRM</t>
        </is>
      </c>
      <c r="D1286" s="25" t="inlineStr">
        <is>
          <t>Gestión de Proyectos Adicionales: La clave para gestionar proyectos adicionales de forma eficiente, priorizarlos y asignar recursos para cumplir con los plazos y entregar resultados de calidad.</t>
        </is>
      </c>
      <c r="E1286" s="26" t="n">
        <v>2300</v>
      </c>
      <c r="F1286" s="27">
        <f>E1286/Config!$B$1</f>
        <v/>
      </c>
      <c r="G1286" s="28" t="inlineStr">
        <is>
          <t>Estimado (mediana de categoría)</t>
        </is>
      </c>
    </row>
    <row r="1287" ht="15" customHeight="1" s="19">
      <c r="A1287" s="24" t="n">
        <v>5955</v>
      </c>
      <c r="B1287" s="25" t="inlineStr">
        <is>
          <t>Gestión de RRHH</t>
        </is>
      </c>
      <c r="C1287" s="24" t="inlineStr">
        <is>
          <t>ERP y CRM</t>
        </is>
      </c>
      <c r="D1287" s="25" t="inlineStr">
        <is>
          <t>Gestión De Rrhh</t>
        </is>
      </c>
      <c r="E1287" s="26" t="n">
        <v>2300</v>
      </c>
      <c r="F1287" s="27">
        <f>E1287/Config!$B$1</f>
        <v/>
      </c>
      <c r="G1287" s="28" t="inlineStr">
        <is>
          <t>Estimado (mediana de categoría)</t>
        </is>
      </c>
    </row>
    <row r="1288" ht="15" customHeight="1" s="19">
      <c r="A1288" s="24" t="n">
        <v>6123</v>
      </c>
      <c r="B1288" s="25" t="inlineStr">
        <is>
          <t>Gestión de Servicios</t>
        </is>
      </c>
      <c r="C1288" s="24" t="inlineStr">
        <is>
          <t>ERP y CRM</t>
        </is>
      </c>
      <c r="D1288" s="25" t="inlineStr">
        <is>
          <t>Gestión De Servicios</t>
        </is>
      </c>
      <c r="E1288" s="26" t="n">
        <v>3600</v>
      </c>
      <c r="F1288" s="27">
        <f>E1288/Config!$B$1</f>
        <v/>
      </c>
      <c r="G1288" s="24" t="inlineStr">
        <is>
          <t>Real</t>
        </is>
      </c>
    </row>
    <row r="1289" ht="15" customHeight="1" s="19">
      <c r="A1289" s="24" t="n">
        <v>7847</v>
      </c>
      <c r="B1289" s="25" t="inlineStr">
        <is>
          <t>Gestión de Servicios</t>
        </is>
      </c>
      <c r="C1289" s="24" t="inlineStr">
        <is>
          <t>ERP y CRM</t>
        </is>
      </c>
      <c r="D1289" s="25" t="inlineStr">
        <is>
          <t>Gestión De Servicios</t>
        </is>
      </c>
      <c r="E1289" s="26" t="n">
        <v>2300</v>
      </c>
      <c r="F1289" s="27">
        <f>E1289/Config!$B$1</f>
        <v/>
      </c>
      <c r="G1289" s="28" t="inlineStr">
        <is>
          <t>Estimado (mediana de categoría)</t>
        </is>
      </c>
    </row>
    <row r="1290" ht="15" customHeight="1" s="19">
      <c r="A1290" s="24" t="n">
        <v>6118</v>
      </c>
      <c r="B1290" s="25" t="inlineStr">
        <is>
          <t>Gestión de Talento y RRHH</t>
        </is>
      </c>
      <c r="C1290" s="24" t="inlineStr">
        <is>
          <t>ERP y CRM</t>
        </is>
      </c>
      <c r="D1290" s="25" t="inlineStr">
        <is>
          <t>Gestión De Talento Y Rrhh.</t>
        </is>
      </c>
      <c r="E1290" s="26" t="n">
        <v>6500</v>
      </c>
      <c r="F1290" s="27">
        <f>E1290/Config!$B$1</f>
        <v/>
      </c>
      <c r="G1290" s="24" t="inlineStr">
        <is>
          <t>Real</t>
        </is>
      </c>
    </row>
    <row r="1291" ht="15" customHeight="1" s="19">
      <c r="A1291" s="24" t="n">
        <v>7842</v>
      </c>
      <c r="B1291" s="25" t="inlineStr">
        <is>
          <t>Gestión de Talento y RRHH</t>
        </is>
      </c>
      <c r="C1291" s="24" t="inlineStr">
        <is>
          <t>ERP y CRM</t>
        </is>
      </c>
      <c r="D1291" s="25" t="inlineStr">
        <is>
          <t>Gestión De Talento Y Rrhh.</t>
        </is>
      </c>
      <c r="E1291" s="26" t="n">
        <v>2300</v>
      </c>
      <c r="F1291" s="27">
        <f>E1291/Config!$B$1</f>
        <v/>
      </c>
      <c r="G1291" s="28" t="inlineStr">
        <is>
          <t>Estimado (mediana de categoría)</t>
        </is>
      </c>
    </row>
    <row r="1292" ht="15" customHeight="1" s="19">
      <c r="A1292" s="24" t="n">
        <v>6120</v>
      </c>
      <c r="B1292" s="25" t="inlineStr">
        <is>
          <t>Gestión de Ventas</t>
        </is>
      </c>
      <c r="C1292" s="24" t="inlineStr">
        <is>
          <t>ERP y CRM</t>
        </is>
      </c>
      <c r="D1292" s="25" t="inlineStr">
        <is>
          <t>Gestión De Ventas</t>
        </is>
      </c>
      <c r="E1292" s="26" t="n">
        <v>4000</v>
      </c>
      <c r="F1292" s="27">
        <f>E1292/Config!$B$1</f>
        <v/>
      </c>
      <c r="G1292" s="24" t="inlineStr">
        <is>
          <t>Real</t>
        </is>
      </c>
    </row>
    <row r="1293" ht="15" customHeight="1" s="19">
      <c r="A1293" s="24" t="n">
        <v>7844</v>
      </c>
      <c r="B1293" s="25" t="inlineStr">
        <is>
          <t>Gestión de Ventas</t>
        </is>
      </c>
      <c r="C1293" s="24" t="inlineStr">
        <is>
          <t>ERP y CRM</t>
        </is>
      </c>
      <c r="D1293" s="25" t="inlineStr">
        <is>
          <t>Gestión De Ventas</t>
        </is>
      </c>
      <c r="E1293" s="26" t="n">
        <v>2300</v>
      </c>
      <c r="F1293" s="27">
        <f>E1293/Config!$B$1</f>
        <v/>
      </c>
      <c r="G1293" s="28" t="inlineStr">
        <is>
          <t>Estimado (mediana de categoría)</t>
        </is>
      </c>
    </row>
    <row r="1294" ht="15" customHeight="1" s="19">
      <c r="A1294" s="24" t="n">
        <v>6142</v>
      </c>
      <c r="B1294" s="25" t="inlineStr">
        <is>
          <t>Gestión de Ventas y Clientes</t>
        </is>
      </c>
      <c r="C1294" s="24" t="inlineStr">
        <is>
          <t>ERP y CRM</t>
        </is>
      </c>
      <c r="D1294" s="25" t="inlineStr">
        <is>
          <t>Seguimiento Y Gestión De Ventas Y Clientes.</t>
        </is>
      </c>
      <c r="E1294" s="26" t="n">
        <v>350</v>
      </c>
      <c r="F1294" s="27">
        <f>E1294/Config!$B$1</f>
        <v/>
      </c>
      <c r="G1294" s="24" t="inlineStr">
        <is>
          <t>Real</t>
        </is>
      </c>
    </row>
    <row r="1295" ht="15" customHeight="1" s="19">
      <c r="A1295" s="24" t="n">
        <v>7866</v>
      </c>
      <c r="B1295" s="25" t="inlineStr">
        <is>
          <t>Gestión de Ventas y Clientes</t>
        </is>
      </c>
      <c r="C1295" s="24" t="inlineStr">
        <is>
          <t>ERP y CRM</t>
        </is>
      </c>
      <c r="D1295" s="25" t="inlineStr">
        <is>
          <t>Seguimiento Y Gestión De Ventas Y Clientes.</t>
        </is>
      </c>
      <c r="E1295" s="26" t="n">
        <v>2300</v>
      </c>
      <c r="F1295" s="27">
        <f>E1295/Config!$B$1</f>
        <v/>
      </c>
      <c r="G1295" s="28" t="inlineStr">
        <is>
          <t>Estimado (mediana de categoría)</t>
        </is>
      </c>
    </row>
    <row r="1296" ht="15" customHeight="1" s="19">
      <c r="A1296" s="24" t="n">
        <v>6046</v>
      </c>
      <c r="B1296" s="25" t="inlineStr">
        <is>
          <t>Gestión de activos</t>
        </is>
      </c>
      <c r="C1296" s="24" t="inlineStr">
        <is>
          <t>ERP y CRM</t>
        </is>
      </c>
      <c r="D1296" s="25" t="inlineStr">
        <is>
          <t>Gestión De Activos</t>
        </is>
      </c>
      <c r="E1296" s="26" t="n">
        <v>2300</v>
      </c>
      <c r="F1296" s="27">
        <f>E1296/Config!$B$1</f>
        <v/>
      </c>
      <c r="G1296" s="28" t="inlineStr">
        <is>
          <t>Estimado (mediana de categoría)</t>
        </is>
      </c>
    </row>
    <row r="1297" ht="15" customHeight="1" s="19">
      <c r="A1297" s="24" t="n">
        <v>5966</v>
      </c>
      <c r="B1297" s="25" t="inlineStr">
        <is>
          <t>Gestión de la Cadena de Suministro (SCM)</t>
        </is>
      </c>
      <c r="C1297" s="24" t="inlineStr">
        <is>
          <t>ERP y CRM</t>
        </is>
      </c>
      <c r="D1297" s="25" t="inlineStr">
        <is>
          <t>Gestión De La Cadena De Suministro</t>
        </is>
      </c>
      <c r="E1297" s="26" t="n">
        <v>2300</v>
      </c>
      <c r="F1297" s="27">
        <f>E1297/Config!$B$1</f>
        <v/>
      </c>
      <c r="G1297" s="28" t="inlineStr">
        <is>
          <t>Estimado (mediana de categoría)</t>
        </is>
      </c>
    </row>
    <row r="1298" ht="15" customHeight="1" s="19">
      <c r="A1298" s="24" t="n">
        <v>5960</v>
      </c>
      <c r="B1298" s="25" t="inlineStr">
        <is>
          <t>Gestión de la Experiencia del Empleado (EX)</t>
        </is>
      </c>
      <c r="C1298" s="24" t="inlineStr">
        <is>
          <t>ERP y CRM</t>
        </is>
      </c>
      <c r="D1298" s="25" t="inlineStr">
        <is>
          <t>Gestión De La Experiencia</t>
        </is>
      </c>
      <c r="E1298" s="26" t="n">
        <v>2300</v>
      </c>
      <c r="F1298" s="27">
        <f>E1298/Config!$B$1</f>
        <v/>
      </c>
      <c r="G1298" s="28" t="inlineStr">
        <is>
          <t>Estimado (mediana de categoría)</t>
        </is>
      </c>
    </row>
    <row r="1299" ht="15" customHeight="1" s="19">
      <c r="A1299" s="24" t="n">
        <v>6119</v>
      </c>
      <c r="B1299" s="25" t="inlineStr">
        <is>
          <t>Gestión de la Producción</t>
        </is>
      </c>
      <c r="C1299" s="24" t="inlineStr">
        <is>
          <t>ERP y CRM</t>
        </is>
      </c>
      <c r="D1299" s="25" t="inlineStr">
        <is>
          <t>Supervisión De Producción</t>
        </is>
      </c>
      <c r="E1299" s="26" t="n">
        <v>5500</v>
      </c>
      <c r="F1299" s="27">
        <f>E1299/Config!$B$1</f>
        <v/>
      </c>
      <c r="G1299" s="24" t="inlineStr">
        <is>
          <t>Real</t>
        </is>
      </c>
    </row>
    <row r="1300" ht="15" customHeight="1" s="19">
      <c r="A1300" s="24" t="n">
        <v>7843</v>
      </c>
      <c r="B1300" s="25" t="inlineStr">
        <is>
          <t>Gestión de la Producción</t>
        </is>
      </c>
      <c r="C1300" s="24" t="inlineStr">
        <is>
          <t>ERP y CRM</t>
        </is>
      </c>
      <c r="D1300" s="25" t="inlineStr">
        <is>
          <t>Supervisión De Producción</t>
        </is>
      </c>
      <c r="E1300" s="26" t="n">
        <v>2300</v>
      </c>
      <c r="F1300" s="27">
        <f>E1300/Config!$B$1</f>
        <v/>
      </c>
      <c r="G1300" s="28" t="inlineStr">
        <is>
          <t>Estimado (mediana de categoría)</t>
        </is>
      </c>
    </row>
    <row r="1301" ht="15" customHeight="1" s="19">
      <c r="A1301" s="24" t="n">
        <v>5917</v>
      </c>
      <c r="B1301" s="25" t="inlineStr">
        <is>
          <t>Gestión de la cadena de suministro</t>
        </is>
      </c>
      <c r="C1301" s="24" t="inlineStr">
        <is>
          <t>ERP y CRM</t>
        </is>
      </c>
      <c r="D1301" s="25" t="inlineStr">
        <is>
          <t>Gestión De La Cadena De Suministro</t>
        </is>
      </c>
      <c r="E1301" s="26" t="n">
        <v>5500</v>
      </c>
      <c r="F1301" s="27">
        <f>E1301/Config!$B$1</f>
        <v/>
      </c>
      <c r="G1301" s="24" t="inlineStr">
        <is>
          <t>Real</t>
        </is>
      </c>
    </row>
    <row r="1302" ht="15" customHeight="1" s="19">
      <c r="A1302" s="24" t="n">
        <v>7699</v>
      </c>
      <c r="B1302" s="25" t="inlineStr">
        <is>
          <t>Gestión de la cadena de suministro</t>
        </is>
      </c>
      <c r="C1302" s="24" t="inlineStr">
        <is>
          <t>ERP y CRM</t>
        </is>
      </c>
      <c r="D1302" s="25" t="inlineStr">
        <is>
          <t>Gestión De La Cadena De Suministro</t>
        </is>
      </c>
      <c r="E1302" s="26" t="n">
        <v>2300</v>
      </c>
      <c r="F1302" s="27">
        <f>E1302/Config!$B$1</f>
        <v/>
      </c>
      <c r="G1302" s="28" t="inlineStr">
        <is>
          <t>Estimado (mediana de categoría)</t>
        </is>
      </c>
    </row>
    <row r="1303" ht="15" customHeight="1" s="19">
      <c r="A1303" s="24" t="n">
        <v>5930</v>
      </c>
      <c r="B1303" s="25" t="inlineStr">
        <is>
          <t>Gestión de la experiencia del cliente (CX)</t>
        </is>
      </c>
      <c r="C1303" s="24" t="inlineStr">
        <is>
          <t>ERP y CRM</t>
        </is>
      </c>
      <c r="D1303" s="25" t="inlineStr">
        <is>
          <t>Gestión De La Experiencia Del Cliente</t>
        </is>
      </c>
      <c r="E1303" s="26" t="n">
        <v>6000</v>
      </c>
      <c r="F1303" s="27">
        <f>E1303/Config!$B$1</f>
        <v/>
      </c>
      <c r="G1303" s="24" t="inlineStr">
        <is>
          <t>Real</t>
        </is>
      </c>
    </row>
    <row r="1304" ht="23.25" customHeight="1" s="19">
      <c r="A1304" s="24" t="n">
        <v>6054</v>
      </c>
      <c r="B1304" s="25" t="inlineStr">
        <is>
          <t>Gestión de la experiencia del empleado: Mejora el compromiso, la productividad y la retención</t>
        </is>
      </c>
      <c r="C1304" s="24" t="inlineStr">
        <is>
          <t>ERP y CRM</t>
        </is>
      </c>
      <c r="D1304" s="25" t="inlineStr">
        <is>
          <t>Gestión de la experiencia del empleado: mejora el compromiso, la productividad y la retención</t>
        </is>
      </c>
      <c r="E1304" s="26" t="n">
        <v>2300</v>
      </c>
      <c r="F1304" s="27">
        <f>E1304/Config!$B$1</f>
        <v/>
      </c>
      <c r="G1304" s="28" t="inlineStr">
        <is>
          <t>Estimado (mediana de categoría)</t>
        </is>
      </c>
    </row>
    <row r="1305" ht="15" customHeight="1" s="19">
      <c r="A1305" s="24" t="n">
        <v>5924</v>
      </c>
      <c r="B1305" s="25" t="inlineStr">
        <is>
          <t>Gestión de proyectos y portafolio</t>
        </is>
      </c>
      <c r="C1305" s="24" t="inlineStr">
        <is>
          <t>ERP y CRM</t>
        </is>
      </c>
      <c r="D1305" s="25" t="inlineStr">
        <is>
          <t>Gestión De Proyectos Y Portafolio.</t>
        </is>
      </c>
      <c r="E1305" s="26" t="n">
        <v>6500</v>
      </c>
      <c r="F1305" s="27">
        <f>E1305/Config!$B$1</f>
        <v/>
      </c>
      <c r="G1305" s="24" t="inlineStr">
        <is>
          <t>Real</t>
        </is>
      </c>
    </row>
    <row r="1306" ht="15" customHeight="1" s="19">
      <c r="A1306" s="24" t="n">
        <v>7706</v>
      </c>
      <c r="B1306" s="25" t="inlineStr">
        <is>
          <t>Gestión de proyectos y portafolio</t>
        </is>
      </c>
      <c r="C1306" s="24" t="inlineStr">
        <is>
          <t>ERP y CRM</t>
        </is>
      </c>
      <c r="D1306" s="25" t="inlineStr">
        <is>
          <t>Gestión De Proyectos Y Portafolio.</t>
        </is>
      </c>
      <c r="E1306" s="26" t="n">
        <v>2300</v>
      </c>
      <c r="F1306" s="27">
        <f>E1306/Config!$B$1</f>
        <v/>
      </c>
      <c r="G1306" s="28" t="inlineStr">
        <is>
          <t>Estimado (mediana de categoría)</t>
        </is>
      </c>
    </row>
    <row r="1307" ht="15" customHeight="1" s="19">
      <c r="A1307" s="24" t="n">
        <v>6052</v>
      </c>
      <c r="B1307" s="25" t="inlineStr">
        <is>
          <t>Gestión de recursos humanos</t>
        </is>
      </c>
      <c r="C1307" s="24" t="inlineStr">
        <is>
          <t>ERP y CRM</t>
        </is>
      </c>
      <c r="D1307" s="25" t="inlineStr">
        <is>
          <t>Gestión De Rrhh</t>
        </is>
      </c>
      <c r="E1307" s="26" t="n">
        <v>2300</v>
      </c>
      <c r="F1307" s="27">
        <f>E1307/Config!$B$1</f>
        <v/>
      </c>
      <c r="G1307" s="28" t="inlineStr">
        <is>
          <t>Estimado (mediana de categoría)</t>
        </is>
      </c>
    </row>
    <row r="1308" ht="15" customHeight="1" s="19">
      <c r="A1308" s="24" t="n">
        <v>7717</v>
      </c>
      <c r="B1308" s="25" t="inlineStr">
        <is>
          <t>Gestión de riesgos empresariales</t>
        </is>
      </c>
      <c r="C1308" s="24" t="inlineStr">
        <is>
          <t>ERP y CRM</t>
        </is>
      </c>
      <c r="D1308" s="25" t="inlineStr">
        <is>
          <t>Gestión De Riesgos Empresariales</t>
        </is>
      </c>
      <c r="E1308" s="26" t="n">
        <v>2300</v>
      </c>
      <c r="F1308" s="27">
        <f>E1308/Config!$B$1</f>
        <v/>
      </c>
      <c r="G1308" s="28" t="inlineStr">
        <is>
          <t>Estimado (mediana de categoría)</t>
        </is>
      </c>
    </row>
    <row r="1309" ht="15" customHeight="1" s="19">
      <c r="A1309" s="24" t="n">
        <v>5923</v>
      </c>
      <c r="B1309" s="25" t="inlineStr">
        <is>
          <t>Gestión de talento y recursos humanos</t>
        </is>
      </c>
      <c r="C1309" s="24" t="inlineStr">
        <is>
          <t>ERP y CRM</t>
        </is>
      </c>
      <c r="D1309" s="25" t="inlineStr">
        <is>
          <t>Gestión De Talento Y Recursos Humanos</t>
        </is>
      </c>
      <c r="E1309" s="26" t="n">
        <v>6000</v>
      </c>
      <c r="F1309" s="27">
        <f>E1309/Config!$B$1</f>
        <v/>
      </c>
      <c r="G1309" s="24" t="inlineStr">
        <is>
          <t>Real</t>
        </is>
      </c>
    </row>
    <row r="1310" ht="15" customHeight="1" s="19">
      <c r="A1310" s="24" t="n">
        <v>7705</v>
      </c>
      <c r="B1310" s="25" t="inlineStr">
        <is>
          <t>Gestión de talento y recursos humanos</t>
        </is>
      </c>
      <c r="C1310" s="24" t="inlineStr">
        <is>
          <t>ERP y CRM</t>
        </is>
      </c>
      <c r="D1310" s="25" t="inlineStr">
        <is>
          <t>Gestión De Talento Y Recursos Humanos</t>
        </is>
      </c>
      <c r="E1310" s="26" t="n">
        <v>2300</v>
      </c>
      <c r="F1310" s="27">
        <f>E1310/Config!$B$1</f>
        <v/>
      </c>
      <c r="G1310" s="28" t="inlineStr">
        <is>
          <t>Estimado (mediana de categoría)</t>
        </is>
      </c>
    </row>
    <row r="1311" ht="15" customHeight="1" s="19">
      <c r="A1311" s="24" t="n">
        <v>7419</v>
      </c>
      <c r="B1311" s="25" t="inlineStr">
        <is>
          <t>Gestión de Órdenes de Trabajo</t>
        </is>
      </c>
      <c r="C1311" s="24" t="inlineStr">
        <is>
          <t>ERP y CRM</t>
        </is>
      </c>
      <c r="D1311" s="25" t="n"/>
      <c r="E1311" s="26" t="n">
        <v>2300</v>
      </c>
      <c r="F1311" s="27">
        <f>E1311/Config!$B$1</f>
        <v/>
      </c>
      <c r="G1311" s="28" t="inlineStr">
        <is>
          <t>Estimado (mediana de categoría)</t>
        </is>
      </c>
    </row>
    <row r="1312" ht="15" customHeight="1" s="19">
      <c r="A1312" s="24" t="n">
        <v>6297</v>
      </c>
      <c r="B1312" s="25" t="inlineStr">
        <is>
          <t>Gestión del Talento con IA</t>
        </is>
      </c>
      <c r="C1312" s="24" t="inlineStr">
        <is>
          <t>ERP y CRM</t>
        </is>
      </c>
      <c r="D1312" s="25" t="inlineStr">
        <is>
          <t>Solución De Gestión Del Talento Basada En Ia</t>
        </is>
      </c>
      <c r="E1312" s="26" t="n">
        <v>199</v>
      </c>
      <c r="F1312" s="27">
        <f>E1312/Config!$B$1</f>
        <v/>
      </c>
      <c r="G1312" s="24" t="inlineStr">
        <is>
          <t>Real</t>
        </is>
      </c>
    </row>
    <row r="1313" ht="15" customHeight="1" s="19">
      <c r="A1313" s="24" t="n">
        <v>8010</v>
      </c>
      <c r="B1313" s="25" t="inlineStr">
        <is>
          <t>Gestión del Talento con IA</t>
        </is>
      </c>
      <c r="C1313" s="24" t="inlineStr">
        <is>
          <t>ERP y CRM</t>
        </is>
      </c>
      <c r="D1313" s="25" t="inlineStr">
        <is>
          <t>Solución De Gestión Del Talento Basada En Ia</t>
        </is>
      </c>
      <c r="E1313" s="26" t="n">
        <v>2300</v>
      </c>
      <c r="F1313" s="27">
        <f>E1313/Config!$B$1</f>
        <v/>
      </c>
      <c r="G1313" s="28" t="inlineStr">
        <is>
          <t>Estimado (mediana de categoría)</t>
        </is>
      </c>
    </row>
    <row r="1314" ht="45.75" customHeight="1" s="19">
      <c r="A1314" s="24" t="n">
        <v>7536</v>
      </c>
      <c r="B1314" s="25" t="inlineStr">
        <is>
          <t>Implementación Básica: La solución integral para tu negocio</t>
        </is>
      </c>
      <c r="C1314" s="24" t="inlineStr">
        <is>
          <t>ERP y CRM</t>
        </is>
      </c>
      <c r="D1314" s="25" t="inlineStr">
        <is>
          <t>Implementación Básica: la base para el éxito de tu negocio. Optimiza procesos, reduce costos, mejora la calidad y la satisfacción del cliente, y obtiene una ventaja competitiva.</t>
        </is>
      </c>
      <c r="E1314" s="26" t="n">
        <v>2500</v>
      </c>
      <c r="F1314" s="27">
        <f>E1314/Config!$B$1</f>
        <v/>
      </c>
      <c r="G1314" s="24" t="inlineStr">
        <is>
          <t>Real</t>
        </is>
      </c>
    </row>
    <row r="1315" ht="23.25" customHeight="1" s="19">
      <c r="A1315" s="24" t="n">
        <v>7407</v>
      </c>
      <c r="B1315" s="25" t="inlineStr">
        <is>
          <t>Implementación Completa y Mantenimiento para Distribuidores y Mayoristas</t>
        </is>
      </c>
      <c r="C1315" s="24" t="inlineStr">
        <is>
          <t>ERP y CRM</t>
        </is>
      </c>
      <c r="D1315" s="25" t="n"/>
      <c r="E1315" s="26" t="n">
        <v>2200</v>
      </c>
      <c r="F1315" s="27">
        <f>E1315/Config!$B$1</f>
        <v/>
      </c>
      <c r="G1315" s="24" t="inlineStr">
        <is>
          <t>Real</t>
        </is>
      </c>
    </row>
    <row r="1316" ht="15" customHeight="1" s="19">
      <c r="A1316" s="24" t="n">
        <v>6739</v>
      </c>
      <c r="B1316" s="25" t="inlineStr">
        <is>
          <t>Implementación ERP</t>
        </is>
      </c>
      <c r="C1316" s="24" t="inlineStr">
        <is>
          <t>ERP y CRM</t>
        </is>
      </c>
      <c r="D1316" s="25" t="inlineStr">
        <is>
          <t>Implementación Completa De Erp.</t>
        </is>
      </c>
      <c r="E1316" s="26" t="n">
        <v>1300</v>
      </c>
      <c r="F1316" s="27">
        <f>E1316/Config!$B$1</f>
        <v/>
      </c>
      <c r="G1316" s="24" t="inlineStr">
        <is>
          <t>Real</t>
        </is>
      </c>
    </row>
    <row r="1317" ht="23.25" customHeight="1" s="19">
      <c r="A1317" s="24" t="n">
        <v>7506</v>
      </c>
      <c r="B1317" s="25" t="inlineStr">
        <is>
          <t>Implementación ERP Básica: Optimiza tus procesos y mejora la eficiencia</t>
        </is>
      </c>
      <c r="C1317" s="24" t="inlineStr">
        <is>
          <t>ERP y CRM</t>
        </is>
      </c>
      <c r="D1317" s="25" t="inlineStr">
        <is>
          <t>Implementación Básica ERP: La solución integral para la gestión empresarial</t>
        </is>
      </c>
      <c r="E1317" s="26" t="n">
        <v>2300</v>
      </c>
      <c r="F1317" s="27">
        <f>E1317/Config!$B$1</f>
        <v/>
      </c>
      <c r="G1317" s="28" t="inlineStr">
        <is>
          <t>Estimado (mediana de categoría)</t>
        </is>
      </c>
    </row>
    <row r="1318" ht="15" customHeight="1" s="19">
      <c r="A1318" s="24" t="n">
        <v>6102</v>
      </c>
      <c r="B1318" s="25" t="inlineStr">
        <is>
          <t>Implementación de CRM</t>
        </is>
      </c>
      <c r="C1318" s="24" t="inlineStr">
        <is>
          <t>ERP y CRM</t>
        </is>
      </c>
      <c r="D1318" s="25" t="inlineStr">
        <is>
          <t>Implementación De Crm</t>
        </is>
      </c>
      <c r="E1318" s="26" t="n">
        <v>2300</v>
      </c>
      <c r="F1318" s="27">
        <f>E1318/Config!$B$1</f>
        <v/>
      </c>
      <c r="G1318" s="28" t="inlineStr">
        <is>
          <t>Estimado (mediana de categoría)</t>
        </is>
      </c>
    </row>
    <row r="1319" ht="15" customHeight="1" s="19">
      <c r="A1319" s="24" t="n">
        <v>7826</v>
      </c>
      <c r="B1319" s="25" t="inlineStr">
        <is>
          <t>Implementación de CRM</t>
        </is>
      </c>
      <c r="C1319" s="24" t="inlineStr">
        <is>
          <t>ERP y CRM</t>
        </is>
      </c>
      <c r="D1319" s="25" t="inlineStr">
        <is>
          <t>Implementación De Crm</t>
        </is>
      </c>
      <c r="E1319" s="26" t="n">
        <v>2300</v>
      </c>
      <c r="F1319" s="27">
        <f>E1319/Config!$B$1</f>
        <v/>
      </c>
      <c r="G1319" s="28" t="inlineStr">
        <is>
          <t>Estimado (mediana de categoría)</t>
        </is>
      </c>
    </row>
    <row r="1320" ht="15" customHeight="1" s="19">
      <c r="A1320" s="24" t="n">
        <v>6755</v>
      </c>
      <c r="B1320" s="25" t="inlineStr">
        <is>
          <t>Implementación de CRM Avanzado</t>
        </is>
      </c>
      <c r="C1320" s="24" t="inlineStr">
        <is>
          <t>ERP y CRM</t>
        </is>
      </c>
      <c r="D1320" s="25" t="inlineStr">
        <is>
          <t>Crm Avanzado</t>
        </is>
      </c>
      <c r="E1320" s="26" t="n">
        <v>7500</v>
      </c>
      <c r="F1320" s="27">
        <f>E1320/Config!$B$1</f>
        <v/>
      </c>
      <c r="G1320" s="24" t="inlineStr">
        <is>
          <t>Real</t>
        </is>
      </c>
    </row>
    <row r="1321" ht="23.25" customHeight="1" s="19">
      <c r="A1321" s="24" t="n">
        <v>6328</v>
      </c>
      <c r="B1321" s="25" t="inlineStr">
        <is>
          <t>Implementación de ERP</t>
        </is>
      </c>
      <c r="C1321" s="24" t="inlineStr">
        <is>
          <t>ERP y CRM</t>
        </is>
      </c>
      <c r="D1321" s="25" t="inlineStr">
        <is>
          <t>Servicios De Consultoría E Implementación De Soluciones Erp.</t>
        </is>
      </c>
      <c r="E1321" s="26" t="n">
        <v>9000</v>
      </c>
      <c r="F1321" s="27">
        <f>E1321/Config!$B$1</f>
        <v/>
      </c>
      <c r="G1321" s="24" t="inlineStr">
        <is>
          <t>Real</t>
        </is>
      </c>
    </row>
    <row r="1322" ht="23.25" customHeight="1" s="19">
      <c r="A1322" s="24" t="n">
        <v>8039</v>
      </c>
      <c r="B1322" s="25" t="inlineStr">
        <is>
          <t>Implementación de ERP</t>
        </is>
      </c>
      <c r="C1322" s="24" t="inlineStr">
        <is>
          <t>ERP y CRM</t>
        </is>
      </c>
      <c r="D1322" s="25" t="inlineStr">
        <is>
          <t>Servicios De Consultoría E Implementación De Soluciones Erp.</t>
        </is>
      </c>
      <c r="E1322" s="26" t="n">
        <v>2300</v>
      </c>
      <c r="F1322" s="27">
        <f>E1322/Config!$B$1</f>
        <v/>
      </c>
      <c r="G1322" s="28" t="inlineStr">
        <is>
          <t>Estimado (mediana de categoría)</t>
        </is>
      </c>
    </row>
    <row r="1323" ht="15" customHeight="1" s="19">
      <c r="A1323" s="24" t="n">
        <v>6600</v>
      </c>
      <c r="B1323" s="25" t="inlineStr">
        <is>
          <t>Implementación de ERP Microsoft Dynamics 365</t>
        </is>
      </c>
      <c r="C1323" s="24" t="inlineStr">
        <is>
          <t>ERP y CRM</t>
        </is>
      </c>
      <c r="D1323" s="25" t="inlineStr">
        <is>
          <t>Implementación Del Erp Microsoft Dynamics 365.</t>
        </is>
      </c>
      <c r="E1323" s="26" t="n">
        <v>45000</v>
      </c>
      <c r="F1323" s="27">
        <f>E1323/Config!$B$1</f>
        <v/>
      </c>
      <c r="G1323" s="24" t="inlineStr">
        <is>
          <t>Real</t>
        </is>
      </c>
    </row>
    <row r="1324" ht="15" customHeight="1" s="19">
      <c r="A1324" s="24" t="n">
        <v>8302</v>
      </c>
      <c r="B1324" s="25" t="inlineStr">
        <is>
          <t>Implementación de ERP Microsoft Dynamics 365</t>
        </is>
      </c>
      <c r="C1324" s="24" t="inlineStr">
        <is>
          <t>ERP y CRM</t>
        </is>
      </c>
      <c r="D1324" s="25" t="inlineStr">
        <is>
          <t>Implementación Del Erp Microsoft Dynamics 365.</t>
        </is>
      </c>
      <c r="E1324" s="26" t="n">
        <v>2300</v>
      </c>
      <c r="F1324" s="27">
        <f>E1324/Config!$B$1</f>
        <v/>
      </c>
      <c r="G1324" s="28" t="inlineStr">
        <is>
          <t>Estimado (mediana de categoría)</t>
        </is>
      </c>
    </row>
    <row r="1325" ht="15" customHeight="1" s="19">
      <c r="A1325" s="24" t="n">
        <v>6597</v>
      </c>
      <c r="B1325" s="25" t="inlineStr">
        <is>
          <t>Implementación de ERP Odoo</t>
        </is>
      </c>
      <c r="C1325" s="24" t="inlineStr">
        <is>
          <t>ERP y CRM</t>
        </is>
      </c>
      <c r="D1325" s="25" t="inlineStr">
        <is>
          <t>Implementación Del Erp Odoo.</t>
        </is>
      </c>
      <c r="E1325" s="26" t="n">
        <v>25000</v>
      </c>
      <c r="F1325" s="27">
        <f>E1325/Config!$B$1</f>
        <v/>
      </c>
      <c r="G1325" s="24" t="inlineStr">
        <is>
          <t>Real</t>
        </is>
      </c>
    </row>
    <row r="1326" ht="15" customHeight="1" s="19">
      <c r="A1326" s="24" t="n">
        <v>8299</v>
      </c>
      <c r="B1326" s="25" t="inlineStr">
        <is>
          <t>Implementación de ERP Odoo</t>
        </is>
      </c>
      <c r="C1326" s="24" t="inlineStr">
        <is>
          <t>ERP y CRM</t>
        </is>
      </c>
      <c r="D1326" s="25" t="inlineStr">
        <is>
          <t>Implementación Del Erp Odoo.</t>
        </is>
      </c>
      <c r="E1326" s="26" t="n">
        <v>2300</v>
      </c>
      <c r="F1326" s="27">
        <f>E1326/Config!$B$1</f>
        <v/>
      </c>
      <c r="G1326" s="28" t="inlineStr">
        <is>
          <t>Estimado (mediana de categoría)</t>
        </is>
      </c>
    </row>
    <row r="1327" ht="15" customHeight="1" s="19">
      <c r="A1327" s="24" t="n">
        <v>6607</v>
      </c>
      <c r="B1327" s="25" t="inlineStr">
        <is>
          <t>Implementación de ERP Oracle e-Business Suite</t>
        </is>
      </c>
      <c r="C1327" s="24" t="inlineStr">
        <is>
          <t>ERP y CRM</t>
        </is>
      </c>
      <c r="D1327" s="25" t="inlineStr">
        <is>
          <t>Implementación Del Erp Oracle E-Business Suite.</t>
        </is>
      </c>
      <c r="E1327" s="26" t="n">
        <v>50000</v>
      </c>
      <c r="F1327" s="27">
        <f>E1327/Config!$B$1</f>
        <v/>
      </c>
      <c r="G1327" s="24" t="inlineStr">
        <is>
          <t>Real</t>
        </is>
      </c>
    </row>
    <row r="1328" ht="15" customHeight="1" s="19">
      <c r="A1328" s="24" t="n">
        <v>8309</v>
      </c>
      <c r="B1328" s="25" t="inlineStr">
        <is>
          <t>Implementación de ERP Oracle e-Business Suite</t>
        </is>
      </c>
      <c r="C1328" s="24" t="inlineStr">
        <is>
          <t>ERP y CRM</t>
        </is>
      </c>
      <c r="D1328" s="25" t="inlineStr">
        <is>
          <t>Implementación Del Erp Oracle E-Business Suite.</t>
        </is>
      </c>
      <c r="E1328" s="26" t="n">
        <v>2300</v>
      </c>
      <c r="F1328" s="27">
        <f>E1328/Config!$B$1</f>
        <v/>
      </c>
      <c r="G1328" s="28" t="inlineStr">
        <is>
          <t>Estimado (mediana de categoría)</t>
        </is>
      </c>
    </row>
    <row r="1329" ht="23.25" customHeight="1" s="19">
      <c r="A1329" s="24" t="n">
        <v>7496</v>
      </c>
      <c r="B1329" s="25" t="inlineStr">
        <is>
          <t>Implementación de ERP y CRM para pymes: Optimiza tus procesos y crece</t>
        </is>
      </c>
      <c r="C1329" s="24" t="inlineStr">
        <is>
          <t>ERP y CRM</t>
        </is>
      </c>
      <c r="D1329" s="25" t="inlineStr">
        <is>
          <t>Implementación básica de ERP y CRM para pymes: la solución integral para el crecimiento empresarial</t>
        </is>
      </c>
      <c r="E1329" s="26" t="n">
        <v>2300</v>
      </c>
      <c r="F1329" s="27">
        <f>E1329/Config!$B$1</f>
        <v/>
      </c>
      <c r="G1329" s="28" t="inlineStr">
        <is>
          <t>Estimado (mediana de categoría)</t>
        </is>
      </c>
    </row>
    <row r="1330" ht="23.25" customHeight="1" s="19">
      <c r="A1330" s="24" t="n">
        <v>8410</v>
      </c>
      <c r="B1330" s="25" t="inlineStr">
        <is>
          <t>Implementación de ERP: Soluciones personalizadas para optimizar tu gestión empresarial</t>
        </is>
      </c>
      <c r="C1330" s="24" t="inlineStr">
        <is>
          <t>ERP y CRM</t>
        </is>
      </c>
      <c r="D1330" s="25" t="inlineStr">
        <is>
          <t>Servicios de Implementación de Sistemas Erp</t>
        </is>
      </c>
      <c r="E1330" s="26" t="n">
        <v>2300</v>
      </c>
      <c r="F1330" s="27">
        <f>E1330/Config!$B$1</f>
        <v/>
      </c>
      <c r="G1330" s="28" t="inlineStr">
        <is>
          <t>Estimado (mediana de categoría)</t>
        </is>
      </c>
    </row>
    <row r="1331" ht="15" customHeight="1" s="19">
      <c r="A1331" s="24" t="n">
        <v>7409</v>
      </c>
      <c r="B1331" s="25" t="inlineStr">
        <is>
          <t>Implementación de Gestión de Servicios</t>
        </is>
      </c>
      <c r="C1331" s="24" t="inlineStr">
        <is>
          <t>ERP y CRM</t>
        </is>
      </c>
      <c r="D1331" s="25" t="n"/>
      <c r="E1331" s="26" t="n">
        <v>850</v>
      </c>
      <c r="F1331" s="27">
        <f>E1331/Config!$B$1</f>
        <v/>
      </c>
      <c r="G1331" s="24" t="inlineStr">
        <is>
          <t>Real</t>
        </is>
      </c>
    </row>
    <row r="1332" ht="15" customHeight="1" s="19">
      <c r="A1332" s="24" t="n">
        <v>6745</v>
      </c>
      <c r="B1332" s="25" t="inlineStr">
        <is>
          <t>Implementación de Políticas de Cumplimiento</t>
        </is>
      </c>
      <c r="C1332" s="24" t="inlineStr">
        <is>
          <t>ERP y CRM</t>
        </is>
      </c>
      <c r="D1332" s="25" t="inlineStr">
        <is>
          <t>Políticas De Cumplimiento.</t>
        </is>
      </c>
      <c r="E1332" s="26" t="n">
        <v>2200</v>
      </c>
      <c r="F1332" s="27">
        <f>E1332/Config!$B$1</f>
        <v/>
      </c>
      <c r="G1332" s="24" t="inlineStr">
        <is>
          <t>Real</t>
        </is>
      </c>
    </row>
    <row r="1333" ht="23.25" customHeight="1" s="19">
      <c r="A1333" s="24" t="n">
        <v>5861</v>
      </c>
      <c r="B1333" s="25" t="inlineStr">
        <is>
          <t>Implementación de Sistema de Gestión de Calidad</t>
        </is>
      </c>
      <c r="C1333" s="24" t="inlineStr">
        <is>
          <t>ERP y CRM</t>
        </is>
      </c>
      <c r="D1333" s="25" t="inlineStr">
        <is>
          <t>Implementación De Un Sistema De Gestión De Calidad.</t>
        </is>
      </c>
      <c r="E1333" s="26" t="n">
        <v>5000</v>
      </c>
      <c r="F1333" s="27">
        <f>E1333/Config!$B$1</f>
        <v/>
      </c>
      <c r="G1333" s="24" t="inlineStr">
        <is>
          <t>Real</t>
        </is>
      </c>
    </row>
    <row r="1334" ht="23.25" customHeight="1" s="19">
      <c r="A1334" s="24" t="n">
        <v>7643</v>
      </c>
      <c r="B1334" s="25" t="inlineStr">
        <is>
          <t>Implementación de Sistema de Gestión de Calidad</t>
        </is>
      </c>
      <c r="C1334" s="24" t="inlineStr">
        <is>
          <t>ERP y CRM</t>
        </is>
      </c>
      <c r="D1334" s="25" t="inlineStr">
        <is>
          <t>Implementación De Un Sistema De Gestión De Calidad.</t>
        </is>
      </c>
      <c r="E1334" s="26" t="n">
        <v>2300</v>
      </c>
      <c r="F1334" s="27">
        <f>E1334/Config!$B$1</f>
        <v/>
      </c>
      <c r="G1334" s="28" t="inlineStr">
        <is>
          <t>Estimado (mediana de categoría)</t>
        </is>
      </c>
    </row>
    <row r="1335" ht="15" customHeight="1" s="19">
      <c r="A1335" s="24" t="n">
        <v>6945</v>
      </c>
      <c r="B1335" s="25" t="inlineStr">
        <is>
          <t>Implementación de Soluciones de CRM</t>
        </is>
      </c>
      <c r="C1335" s="24" t="inlineStr">
        <is>
          <t>ERP y CRM</t>
        </is>
      </c>
      <c r="D1335" s="25" t="inlineStr">
        <is>
          <t>Soluciones De Crm</t>
        </is>
      </c>
      <c r="E1335" s="26" t="n">
        <v>5800</v>
      </c>
      <c r="F1335" s="27">
        <f>E1335/Config!$B$1</f>
        <v/>
      </c>
      <c r="G1335" s="24" t="inlineStr">
        <is>
          <t>Real</t>
        </is>
      </c>
    </row>
    <row r="1336" ht="23.25" customHeight="1" s="19">
      <c r="A1336" s="24" t="n">
        <v>7642</v>
      </c>
      <c r="B1336" s="25" t="inlineStr">
        <is>
          <t>Implementación de Soluciones de Gestión de Activos Intangibles: Optimiza y Protege tus Recursos Valiosos</t>
        </is>
      </c>
      <c r="C1336" s="24" t="inlineStr">
        <is>
          <t>ERP y CRM</t>
        </is>
      </c>
      <c r="D1336" s="25" t="inlineStr">
        <is>
          <t>Implementación de Soluciones de Gestión de Activos Intangibles: Optimiza y protege tus recursos valiosos</t>
        </is>
      </c>
      <c r="E1336" s="26" t="n">
        <v>1350</v>
      </c>
      <c r="F1336" s="27">
        <f>E1336/Config!$B$1</f>
        <v/>
      </c>
      <c r="G1336" s="24" t="inlineStr">
        <is>
          <t>Real</t>
        </is>
      </c>
    </row>
    <row r="1337" ht="23.25" customHeight="1" s="19">
      <c r="A1337" s="24" t="n">
        <v>5943</v>
      </c>
      <c r="B1337" s="25" t="inlineStr">
        <is>
          <t>Implementación de Soluciones de Gestión de Activos y Mantenimiento Predictivo</t>
        </is>
      </c>
      <c r="C1337" s="24" t="inlineStr">
        <is>
          <t>ERP y CRM</t>
        </is>
      </c>
      <c r="D1337" s="25" t="inlineStr">
        <is>
          <t>Gestión De Activos Y Mantenimiento Predictivo</t>
        </is>
      </c>
      <c r="E1337" s="26" t="n">
        <v>7000</v>
      </c>
      <c r="F1337" s="27">
        <f>E1337/Config!$B$1</f>
        <v/>
      </c>
      <c r="G1337" s="24" t="inlineStr">
        <is>
          <t>Real</t>
        </is>
      </c>
    </row>
    <row r="1338" ht="23.25" customHeight="1" s="19">
      <c r="A1338" s="24" t="n">
        <v>7725</v>
      </c>
      <c r="B1338" s="25" t="inlineStr">
        <is>
          <t>Implementación de Soluciones de Gestión de Activos y Mantenimiento Predictivo</t>
        </is>
      </c>
      <c r="C1338" s="24" t="inlineStr">
        <is>
          <t>ERP y CRM</t>
        </is>
      </c>
      <c r="D1338" s="25" t="inlineStr">
        <is>
          <t>Gestión De Activos Y Mantenimiento Predictivo</t>
        </is>
      </c>
      <c r="E1338" s="26" t="n">
        <v>2300</v>
      </c>
      <c r="F1338" s="27">
        <f>E1338/Config!$B$1</f>
        <v/>
      </c>
      <c r="G1338" s="28" t="inlineStr">
        <is>
          <t>Estimado (mediana de categoría)</t>
        </is>
      </c>
    </row>
    <row r="1339" ht="23.25" customHeight="1" s="19">
      <c r="A1339" s="24" t="n">
        <v>5874</v>
      </c>
      <c r="B1339" s="25" t="inlineStr">
        <is>
          <t>Implementación de Soluciones de Gestión de Proyectos y Portafolio</t>
        </is>
      </c>
      <c r="C1339" s="24" t="inlineStr">
        <is>
          <t>ERP y CRM</t>
        </is>
      </c>
      <c r="D1339" s="25" t="inlineStr">
        <is>
          <t>Gestión De Proyectos Y Portafolio.</t>
        </is>
      </c>
      <c r="E1339" s="26" t="n">
        <v>6000</v>
      </c>
      <c r="F1339" s="27">
        <f>E1339/Config!$B$1</f>
        <v/>
      </c>
      <c r="G1339" s="24" t="inlineStr">
        <is>
          <t>Real</t>
        </is>
      </c>
    </row>
    <row r="1340" ht="23.25" customHeight="1" s="19">
      <c r="A1340" s="24" t="n">
        <v>7656</v>
      </c>
      <c r="B1340" s="25" t="inlineStr">
        <is>
          <t>Implementación de Soluciones de Gestión de Proyectos y Portafolio</t>
        </is>
      </c>
      <c r="C1340" s="24" t="inlineStr">
        <is>
          <t>ERP y CRM</t>
        </is>
      </c>
      <c r="D1340" s="25" t="inlineStr">
        <is>
          <t>Gestión De Proyectos Y Portafolio.</t>
        </is>
      </c>
      <c r="E1340" s="26" t="n">
        <v>2300</v>
      </c>
      <c r="F1340" s="27">
        <f>E1340/Config!$B$1</f>
        <v/>
      </c>
      <c r="G1340" s="28" t="inlineStr">
        <is>
          <t>Estimado (mediana de categoría)</t>
        </is>
      </c>
    </row>
    <row r="1341" ht="23.25" customHeight="1" s="19">
      <c r="A1341" s="24" t="n">
        <v>5873</v>
      </c>
      <c r="B1341" s="25" t="inlineStr">
        <is>
          <t>Implementación de Soluciones de Gestión de Talento y Recursos Humanos</t>
        </is>
      </c>
      <c r="C1341" s="24" t="inlineStr">
        <is>
          <t>ERP y CRM</t>
        </is>
      </c>
      <c r="D1341" s="25" t="inlineStr">
        <is>
          <t>Gestión De Talento Y Rrhh.</t>
        </is>
      </c>
      <c r="E1341" s="26" t="n">
        <v>5000</v>
      </c>
      <c r="F1341" s="27">
        <f>E1341/Config!$B$1</f>
        <v/>
      </c>
      <c r="G1341" s="24" t="inlineStr">
        <is>
          <t>Real</t>
        </is>
      </c>
    </row>
    <row r="1342" ht="23.25" customHeight="1" s="19">
      <c r="A1342" s="24" t="n">
        <v>7655</v>
      </c>
      <c r="B1342" s="25" t="inlineStr">
        <is>
          <t>Implementación de Soluciones de Gestión de Talento y Recursos Humanos</t>
        </is>
      </c>
      <c r="C1342" s="24" t="inlineStr">
        <is>
          <t>ERP y CRM</t>
        </is>
      </c>
      <c r="D1342" s="25" t="inlineStr">
        <is>
          <t>Gestión De Talento Y Rrhh.</t>
        </is>
      </c>
      <c r="E1342" s="26" t="n">
        <v>2300</v>
      </c>
      <c r="F1342" s="27">
        <f>E1342/Config!$B$1</f>
        <v/>
      </c>
      <c r="G1342" s="28" t="inlineStr">
        <is>
          <t>Estimado (mediana de categoría)</t>
        </is>
      </c>
    </row>
    <row r="1343" ht="23.25" customHeight="1" s="19">
      <c r="A1343" s="24" t="n">
        <v>5867</v>
      </c>
      <c r="B1343" s="25" t="inlineStr">
        <is>
          <t>Implementación de Soluciones de Gestión de la Cadena de Suministro</t>
        </is>
      </c>
      <c r="C1343" s="24" t="inlineStr">
        <is>
          <t>ERP y CRM</t>
        </is>
      </c>
      <c r="D1343" s="25" t="inlineStr">
        <is>
          <t>Gestión De La Cadena De Suministro</t>
        </is>
      </c>
      <c r="E1343" s="26" t="n">
        <v>6500</v>
      </c>
      <c r="F1343" s="27">
        <f>E1343/Config!$B$1</f>
        <v/>
      </c>
      <c r="G1343" s="24" t="inlineStr">
        <is>
          <t>Real</t>
        </is>
      </c>
    </row>
    <row r="1344" ht="23.25" customHeight="1" s="19">
      <c r="A1344" s="24" t="n">
        <v>7649</v>
      </c>
      <c r="B1344" s="25" t="inlineStr">
        <is>
          <t>Implementación de Soluciones de Gestión de la Cadena de Suministro</t>
        </is>
      </c>
      <c r="C1344" s="24" t="inlineStr">
        <is>
          <t>ERP y CRM</t>
        </is>
      </c>
      <c r="D1344" s="25" t="inlineStr">
        <is>
          <t>Gestión De La Cadena De Suministro</t>
        </is>
      </c>
      <c r="E1344" s="26" t="n">
        <v>2300</v>
      </c>
      <c r="F1344" s="27">
        <f>E1344/Config!$B$1</f>
        <v/>
      </c>
      <c r="G1344" s="28" t="inlineStr">
        <is>
          <t>Estimado (mediana de categoría)</t>
        </is>
      </c>
    </row>
    <row r="1345" ht="23.25" customHeight="1" s="19">
      <c r="A1345" s="24" t="n">
        <v>5946</v>
      </c>
      <c r="B1345" s="25" t="inlineStr">
        <is>
          <t>Implementación de Soluciones de Gestión de la Cadena de Suministro (SCM)</t>
        </is>
      </c>
      <c r="C1345" s="24" t="inlineStr">
        <is>
          <t>ERP y CRM</t>
        </is>
      </c>
      <c r="D1345" s="25" t="inlineStr">
        <is>
          <t>Gestión De La Cadena De Suministro</t>
        </is>
      </c>
      <c r="E1345" s="26" t="n">
        <v>7000</v>
      </c>
      <c r="F1345" s="27">
        <f>E1345/Config!$B$1</f>
        <v/>
      </c>
      <c r="G1345" s="24" t="inlineStr">
        <is>
          <t>Real</t>
        </is>
      </c>
    </row>
    <row r="1346" ht="23.25" customHeight="1" s="19">
      <c r="A1346" s="24" t="n">
        <v>7728</v>
      </c>
      <c r="B1346" s="25" t="inlineStr">
        <is>
          <t>Implementación de Soluciones de Gestión de la Cadena de Suministro (SCM)</t>
        </is>
      </c>
      <c r="C1346" s="24" t="inlineStr">
        <is>
          <t>ERP y CRM</t>
        </is>
      </c>
      <c r="D1346" s="25" t="inlineStr">
        <is>
          <t>Gestión De La Cadena De Suministro</t>
        </is>
      </c>
      <c r="E1346" s="26" t="n">
        <v>2300</v>
      </c>
      <c r="F1346" s="27">
        <f>E1346/Config!$B$1</f>
        <v/>
      </c>
      <c r="G1346" s="28" t="inlineStr">
        <is>
          <t>Estimado (mediana de categoría)</t>
        </is>
      </c>
    </row>
    <row r="1347" ht="23.25" customHeight="1" s="19">
      <c r="A1347" s="24" t="n">
        <v>5880</v>
      </c>
      <c r="B1347" s="25" t="inlineStr">
        <is>
          <t>Implementación de Soluciones de Gestión de la Experiencia del Cliente</t>
        </is>
      </c>
      <c r="C1347" s="24" t="inlineStr">
        <is>
          <t>ERP y CRM</t>
        </is>
      </c>
      <c r="D1347" s="25" t="inlineStr">
        <is>
          <t>Gestión De La Experiencia Del Cliente</t>
        </is>
      </c>
      <c r="E1347" s="26" t="n">
        <v>6000</v>
      </c>
      <c r="F1347" s="27">
        <f>E1347/Config!$B$1</f>
        <v/>
      </c>
      <c r="G1347" s="24" t="inlineStr">
        <is>
          <t>Real</t>
        </is>
      </c>
    </row>
    <row r="1348" ht="23.25" customHeight="1" s="19">
      <c r="A1348" s="24" t="n">
        <v>5940</v>
      </c>
      <c r="B1348" s="25" t="inlineStr">
        <is>
          <t>Implementación de Soluciones de Gestión de la Experiencia del Cliente (CX)</t>
        </is>
      </c>
      <c r="C1348" s="24" t="inlineStr">
        <is>
          <t>ERP y CRM</t>
        </is>
      </c>
      <c r="D1348" s="25" t="inlineStr">
        <is>
          <t>Gestión De La Experiencia Del Cliente</t>
        </is>
      </c>
      <c r="E1348" s="26" t="n">
        <v>7000</v>
      </c>
      <c r="F1348" s="27">
        <f>E1348/Config!$B$1</f>
        <v/>
      </c>
      <c r="G1348" s="24" t="inlineStr">
        <is>
          <t>Real</t>
        </is>
      </c>
    </row>
    <row r="1349" ht="23.25" customHeight="1" s="19">
      <c r="A1349" s="24" t="n">
        <v>7404</v>
      </c>
      <c r="B1349" s="25" t="inlineStr">
        <is>
          <t>Implementación de Soluciones de Gestión para Distribuidores y Mayoristas</t>
        </is>
      </c>
      <c r="C1349" s="24" t="inlineStr">
        <is>
          <t>ERP y CRM</t>
        </is>
      </c>
      <c r="D1349" s="25" t="n"/>
      <c r="E1349" s="26" t="n">
        <v>1000</v>
      </c>
      <c r="F1349" s="27">
        <f>E1349/Config!$B$1</f>
        <v/>
      </c>
      <c r="G1349" s="24" t="inlineStr">
        <is>
          <t>Real</t>
        </is>
      </c>
    </row>
    <row r="1350" ht="15" customHeight="1" s="19">
      <c r="A1350" s="24" t="n">
        <v>7589</v>
      </c>
      <c r="B1350" s="25" t="inlineStr">
        <is>
          <t>Implementación de sistemas de gestión de calidad</t>
        </is>
      </c>
      <c r="C1350" s="24" t="inlineStr">
        <is>
          <t>ERP y CRM</t>
        </is>
      </c>
      <c r="D1350" s="25" t="inlineStr">
        <is>
          <t>Gestión De Calidad</t>
        </is>
      </c>
      <c r="E1350" s="26" t="n">
        <v>1080</v>
      </c>
      <c r="F1350" s="27">
        <f>E1350/Config!$B$1</f>
        <v/>
      </c>
      <c r="G1350" s="24" t="inlineStr">
        <is>
          <t>Real</t>
        </is>
      </c>
    </row>
    <row r="1351" ht="15" customHeight="1" s="19">
      <c r="A1351" s="24" t="n">
        <v>7620</v>
      </c>
      <c r="B1351" s="25" t="inlineStr">
        <is>
          <t>Implementación de sistemas de gestión de compras</t>
        </is>
      </c>
      <c r="C1351" s="24" t="inlineStr">
        <is>
          <t>ERP y CRM</t>
        </is>
      </c>
      <c r="D1351" s="25" t="inlineStr">
        <is>
          <t>Sistemas De Gestión De Compras</t>
        </is>
      </c>
      <c r="E1351" s="26" t="n">
        <v>1080</v>
      </c>
      <c r="F1351" s="27">
        <f>E1351/Config!$B$1</f>
        <v/>
      </c>
      <c r="G1351" s="24" t="inlineStr">
        <is>
          <t>Real</t>
        </is>
      </c>
    </row>
    <row r="1352" ht="23.25" customHeight="1" s="19">
      <c r="A1352" s="24" t="n">
        <v>7591</v>
      </c>
      <c r="B1352" s="25" t="inlineStr">
        <is>
          <t>Implementación de sistemas de gestión de recursos humanos</t>
        </is>
      </c>
      <c r="C1352" s="24" t="inlineStr">
        <is>
          <t>ERP y CRM</t>
        </is>
      </c>
      <c r="D1352" s="25" t="inlineStr">
        <is>
          <t>Sistemas De Gestión De Rr.Hh.</t>
        </is>
      </c>
      <c r="E1352" s="26" t="n">
        <v>810</v>
      </c>
      <c r="F1352" s="27">
        <f>E1352/Config!$B$1</f>
        <v/>
      </c>
      <c r="G1352" s="24" t="inlineStr">
        <is>
          <t>Real</t>
        </is>
      </c>
    </row>
    <row r="1353" ht="15" customHeight="1" s="19">
      <c r="A1353" s="24" t="n">
        <v>7609</v>
      </c>
      <c r="B1353" s="25" t="inlineStr">
        <is>
          <t>Implementación de sistemas de gestión de transporte</t>
        </is>
      </c>
      <c r="C1353" s="24" t="inlineStr">
        <is>
          <t>ERP y CRM</t>
        </is>
      </c>
      <c r="D1353" s="25" t="inlineStr">
        <is>
          <t>Sistemas De Gestión De Transporte</t>
        </is>
      </c>
      <c r="E1353" s="26" t="n">
        <v>990</v>
      </c>
      <c r="F1353" s="27">
        <f>E1353/Config!$B$1</f>
        <v/>
      </c>
      <c r="G1353" s="24" t="inlineStr">
        <is>
          <t>Real</t>
        </is>
      </c>
    </row>
    <row r="1354" ht="15" customHeight="1" s="19">
      <c r="A1354" s="24" t="n">
        <v>7613</v>
      </c>
      <c r="B1354" s="25" t="inlineStr">
        <is>
          <t>Implementación de sistemas de gestión financiera</t>
        </is>
      </c>
      <c r="C1354" s="24" t="inlineStr">
        <is>
          <t>ERP y CRM</t>
        </is>
      </c>
      <c r="D1354" s="25" t="inlineStr">
        <is>
          <t>Sistemas De Gestión Financiera</t>
        </is>
      </c>
      <c r="E1354" s="26" t="n">
        <v>1080</v>
      </c>
      <c r="F1354" s="27">
        <f>E1354/Config!$B$1</f>
        <v/>
      </c>
      <c r="G1354" s="24" t="inlineStr">
        <is>
          <t>Real</t>
        </is>
      </c>
    </row>
    <row r="1355" ht="15" customHeight="1" s="19">
      <c r="A1355" s="24" t="n">
        <v>6869</v>
      </c>
      <c r="B1355" s="25" t="inlineStr">
        <is>
          <t>Implementación de software ERP</t>
        </is>
      </c>
      <c r="C1355" s="24" t="inlineStr">
        <is>
          <t>ERP y CRM</t>
        </is>
      </c>
      <c r="D1355" s="25" t="n"/>
      <c r="E1355" s="26" t="n">
        <v>1</v>
      </c>
      <c r="F1355" s="27">
        <f>E1355/Config!$B$1</f>
        <v/>
      </c>
      <c r="G1355" s="24" t="inlineStr">
        <is>
          <t>Real</t>
        </is>
      </c>
    </row>
    <row r="1356" ht="15" customHeight="1" s="19">
      <c r="A1356" s="24" t="n">
        <v>7590</v>
      </c>
      <c r="B1356" s="25" t="inlineStr">
        <is>
          <t>Implementación de soluciones CRM</t>
        </is>
      </c>
      <c r="C1356" s="24" t="inlineStr">
        <is>
          <t>ERP y CRM</t>
        </is>
      </c>
      <c r="D1356" s="25" t="inlineStr">
        <is>
          <t>Soluciones Crm</t>
        </is>
      </c>
      <c r="E1356" s="26" t="n">
        <v>720</v>
      </c>
      <c r="F1356" s="27">
        <f>E1356/Config!$B$1</f>
        <v/>
      </c>
      <c r="G1356" s="24" t="inlineStr">
        <is>
          <t>Real</t>
        </is>
      </c>
    </row>
    <row r="1357" ht="15" customHeight="1" s="19">
      <c r="A1357" s="24" t="n">
        <v>7639</v>
      </c>
      <c r="B1357" s="25" t="inlineStr">
        <is>
          <t>Implementación de soluciones de gestión ambiental</t>
        </is>
      </c>
      <c r="C1357" s="24" t="inlineStr">
        <is>
          <t>ERP y CRM</t>
        </is>
      </c>
      <c r="D1357" s="25" t="inlineStr">
        <is>
          <t>Soluciones De Gestión Ambiental</t>
        </is>
      </c>
      <c r="E1357" s="26" t="n">
        <v>1260</v>
      </c>
      <c r="F1357" s="27">
        <f>E1357/Config!$B$1</f>
        <v/>
      </c>
      <c r="G1357" s="24" t="inlineStr">
        <is>
          <t>Real</t>
        </is>
      </c>
    </row>
    <row r="1358" ht="15" customHeight="1" s="19">
      <c r="A1358" s="24" t="n">
        <v>7604</v>
      </c>
      <c r="B1358" s="25" t="inlineStr">
        <is>
          <t>Implementación de soluciones de gestión de inventarios</t>
        </is>
      </c>
      <c r="C1358" s="24" t="inlineStr">
        <is>
          <t>ERP y CRM</t>
        </is>
      </c>
      <c r="D1358" s="25" t="inlineStr">
        <is>
          <t>Soluciones De Gestión De Inventarios</t>
        </is>
      </c>
      <c r="E1358" s="26" t="n">
        <v>810</v>
      </c>
      <c r="F1358" s="27">
        <f>E1358/Config!$B$1</f>
        <v/>
      </c>
      <c r="G1358" s="24" t="inlineStr">
        <is>
          <t>Real</t>
        </is>
      </c>
    </row>
    <row r="1359" ht="23.25" customHeight="1" s="19">
      <c r="A1359" s="24" t="n">
        <v>5986</v>
      </c>
      <c r="B1359" s="25" t="inlineStr">
        <is>
          <t>Implementación de soluciones de gestión de la cadena de suministro (SCM) con analítica avanzada</t>
        </is>
      </c>
      <c r="C1359" s="24" t="inlineStr">
        <is>
          <t>ERP y CRM</t>
        </is>
      </c>
      <c r="D1359" s="25" t="inlineStr">
        <is>
          <t>Gestión De Cadena De Suministro Con Analítica Avanzada</t>
        </is>
      </c>
      <c r="E1359" s="26" t="n">
        <v>16200</v>
      </c>
      <c r="F1359" s="27">
        <f>E1359/Config!$B$1</f>
        <v/>
      </c>
      <c r="G1359" s="24" t="inlineStr">
        <is>
          <t>Real</t>
        </is>
      </c>
    </row>
    <row r="1360" ht="23.25" customHeight="1" s="19">
      <c r="A1360" s="24" t="n">
        <v>7749</v>
      </c>
      <c r="B1360" s="25" t="inlineStr">
        <is>
          <t>Implementación de soluciones de gestión de la cadena de suministro (SCM) con analítica avanzada</t>
        </is>
      </c>
      <c r="C1360" s="24" t="inlineStr">
        <is>
          <t>ERP y CRM</t>
        </is>
      </c>
      <c r="D1360" s="25" t="inlineStr">
        <is>
          <t>Gestión De Cadena De Suministro Con Analítica Avanzada</t>
        </is>
      </c>
      <c r="E1360" s="26" t="n">
        <v>2300</v>
      </c>
      <c r="F1360" s="27">
        <f>E1360/Config!$B$1</f>
        <v/>
      </c>
      <c r="G1360" s="28" t="inlineStr">
        <is>
          <t>Estimado (mediana de categoría)</t>
        </is>
      </c>
    </row>
    <row r="1361" ht="34.5" customHeight="1" s="19">
      <c r="A1361" s="24" t="n">
        <v>6006</v>
      </c>
      <c r="B1361" s="25" t="inlineStr">
        <is>
          <t>Implementación de soluciones de gestión de la cadena de suministro (SCM) con inteligencia artificial y analítica predictiva</t>
        </is>
      </c>
      <c r="C1361" s="24" t="inlineStr">
        <is>
          <t>ERP y CRM</t>
        </is>
      </c>
      <c r="D1361" s="25" t="inlineStr">
        <is>
          <t>Gestión De Cadena De Suministro</t>
        </is>
      </c>
      <c r="E1361" s="26" t="n">
        <v>19800</v>
      </c>
      <c r="F1361" s="27">
        <f>E1361/Config!$B$1</f>
        <v/>
      </c>
      <c r="G1361" s="24" t="inlineStr">
        <is>
          <t>Real</t>
        </is>
      </c>
    </row>
    <row r="1362" ht="34.5" customHeight="1" s="19">
      <c r="A1362" s="24" t="n">
        <v>7769</v>
      </c>
      <c r="B1362" s="25" t="inlineStr">
        <is>
          <t>Implementación de soluciones de gestión de la cadena de suministro (SCM) con inteligencia artificial y analítica predictiva</t>
        </is>
      </c>
      <c r="C1362" s="24" t="inlineStr">
        <is>
          <t>ERP y CRM</t>
        </is>
      </c>
      <c r="D1362" s="25" t="inlineStr">
        <is>
          <t>Gestión De Cadena De Suministro</t>
        </is>
      </c>
      <c r="E1362" s="26" t="n">
        <v>2300</v>
      </c>
      <c r="F1362" s="27">
        <f>E1362/Config!$B$1</f>
        <v/>
      </c>
      <c r="G1362" s="28" t="inlineStr">
        <is>
          <t>Estimado (mediana de categoría)</t>
        </is>
      </c>
    </row>
    <row r="1363" ht="23.25" customHeight="1" s="19">
      <c r="A1363" s="24" t="n">
        <v>7637</v>
      </c>
      <c r="B1363" s="25" t="inlineStr">
        <is>
          <t>Implementación de soluciones de gestión de la calidad total</t>
        </is>
      </c>
      <c r="C1363" s="24" t="inlineStr">
        <is>
          <t>ERP y CRM</t>
        </is>
      </c>
      <c r="D1363" s="25" t="inlineStr">
        <is>
          <t>Soluciones De Gestión De La Calidad Total</t>
        </is>
      </c>
      <c r="E1363" s="26" t="n">
        <v>1350</v>
      </c>
      <c r="F1363" s="27">
        <f>E1363/Config!$B$1</f>
        <v/>
      </c>
      <c r="G1363" s="24" t="inlineStr">
        <is>
          <t>Real</t>
        </is>
      </c>
    </row>
    <row r="1364" ht="23.25" customHeight="1" s="19">
      <c r="A1364" s="24" t="n">
        <v>5980</v>
      </c>
      <c r="B1364" s="25" t="inlineStr">
        <is>
          <t>Implementación de soluciones de gestión de la experiencia del empleado (EX)</t>
        </is>
      </c>
      <c r="C1364" s="24" t="inlineStr">
        <is>
          <t>ERP y CRM</t>
        </is>
      </c>
      <c r="D1364" s="25" t="inlineStr">
        <is>
          <t>Gestión De La Experiencia Del Empleado</t>
        </is>
      </c>
      <c r="E1364" s="26" t="n">
        <v>10800</v>
      </c>
      <c r="F1364" s="27">
        <f>E1364/Config!$B$1</f>
        <v/>
      </c>
      <c r="G1364" s="24" t="inlineStr">
        <is>
          <t>Real</t>
        </is>
      </c>
    </row>
    <row r="1365" ht="23.25" customHeight="1" s="19">
      <c r="A1365" s="24" t="n">
        <v>7743</v>
      </c>
      <c r="B1365" s="25" t="inlineStr">
        <is>
          <t>Implementación de soluciones de gestión de la experiencia del empleado (EX)</t>
        </is>
      </c>
      <c r="C1365" s="24" t="inlineStr">
        <is>
          <t>ERP y CRM</t>
        </is>
      </c>
      <c r="D1365" s="25" t="inlineStr">
        <is>
          <t>Gestión De La Experiencia Del Empleado</t>
        </is>
      </c>
      <c r="E1365" s="26" t="n">
        <v>2300</v>
      </c>
      <c r="F1365" s="27">
        <f>E1365/Config!$B$1</f>
        <v/>
      </c>
      <c r="G1365" s="28" t="inlineStr">
        <is>
          <t>Estimado (mediana de categoría)</t>
        </is>
      </c>
    </row>
    <row r="1366" ht="23.25" customHeight="1" s="19">
      <c r="A1366" s="24" t="n">
        <v>7631</v>
      </c>
      <c r="B1366" s="25" t="inlineStr">
        <is>
          <t>Implementación de soluciones de gestión de mantenimiento</t>
        </is>
      </c>
      <c r="C1366" s="24" t="inlineStr">
        <is>
          <t>ERP y CRM</t>
        </is>
      </c>
      <c r="D1366" s="25" t="inlineStr">
        <is>
          <t>Soluciones De Gestión De Mantenimiento</t>
        </is>
      </c>
      <c r="E1366" s="26" t="n">
        <v>1080</v>
      </c>
      <c r="F1366" s="27">
        <f>E1366/Config!$B$1</f>
        <v/>
      </c>
      <c r="G1366" s="24" t="inlineStr">
        <is>
          <t>Real</t>
        </is>
      </c>
    </row>
    <row r="1367" ht="23.25" customHeight="1" s="19">
      <c r="A1367" s="24" t="n">
        <v>7632</v>
      </c>
      <c r="B1367" s="25" t="inlineStr">
        <is>
          <t>Implementación de soluciones de gestión de operaciones</t>
        </is>
      </c>
      <c r="C1367" s="24" t="inlineStr">
        <is>
          <t>ERP y CRM</t>
        </is>
      </c>
      <c r="D1367" s="25" t="inlineStr">
        <is>
          <t>Soluciones De Gestión De Operaciones</t>
        </is>
      </c>
      <c r="E1367" s="26" t="n">
        <v>1260</v>
      </c>
      <c r="F1367" s="27">
        <f>E1367/Config!$B$1</f>
        <v/>
      </c>
      <c r="G1367" s="24" t="inlineStr">
        <is>
          <t>Real</t>
        </is>
      </c>
    </row>
    <row r="1368" ht="23.25" customHeight="1" s="19">
      <c r="A1368" s="24" t="n">
        <v>5991</v>
      </c>
      <c r="B1368" s="25" t="inlineStr">
        <is>
          <t>Implementación de soluciones de gestión de proyectos y portafolio con analítica y automatización</t>
        </is>
      </c>
      <c r="C1368" s="24" t="inlineStr">
        <is>
          <t>ERP y CRM</t>
        </is>
      </c>
      <c r="D1368" s="25" t="inlineStr">
        <is>
          <t>Gestión De Proyectos Con Analítica Y Automatización</t>
        </is>
      </c>
      <c r="E1368" s="26" t="n">
        <v>14400</v>
      </c>
      <c r="F1368" s="27">
        <f>E1368/Config!$B$1</f>
        <v/>
      </c>
      <c r="G1368" s="24" t="inlineStr">
        <is>
          <t>Real</t>
        </is>
      </c>
    </row>
    <row r="1369" ht="23.25" customHeight="1" s="19">
      <c r="A1369" s="24" t="n">
        <v>7754</v>
      </c>
      <c r="B1369" s="25" t="inlineStr">
        <is>
          <t>Implementación de soluciones de gestión de proyectos y portafolio con analítica y automatización</t>
        </is>
      </c>
      <c r="C1369" s="24" t="inlineStr">
        <is>
          <t>ERP y CRM</t>
        </is>
      </c>
      <c r="D1369" s="25" t="inlineStr">
        <is>
          <t>Gestión De Proyectos Con Analítica Y Automatización</t>
        </is>
      </c>
      <c r="E1369" s="26" t="n">
        <v>2300</v>
      </c>
      <c r="F1369" s="27">
        <f>E1369/Config!$B$1</f>
        <v/>
      </c>
      <c r="G1369" s="28" t="inlineStr">
        <is>
          <t>Estimado (mediana de categoría)</t>
        </is>
      </c>
    </row>
    <row r="1370" ht="23.25" customHeight="1" s="19">
      <c r="A1370" s="24" t="n">
        <v>7635</v>
      </c>
      <c r="B1370" s="25" t="inlineStr">
        <is>
          <t>Implementación de soluciones de gestión de recursos empresariales (ERP)</t>
        </is>
      </c>
      <c r="C1370" s="24" t="inlineStr">
        <is>
          <t>ERP y CRM</t>
        </is>
      </c>
      <c r="D1370" s="25" t="inlineStr">
        <is>
          <t>Soluciones De Gestión Erp</t>
        </is>
      </c>
      <c r="E1370" s="26" t="n">
        <v>1620</v>
      </c>
      <c r="F1370" s="27">
        <f>E1370/Config!$B$1</f>
        <v/>
      </c>
      <c r="G1370" s="24" t="inlineStr">
        <is>
          <t>Real</t>
        </is>
      </c>
    </row>
    <row r="1371" ht="23.25" customHeight="1" s="19">
      <c r="A1371" s="24" t="n">
        <v>6074</v>
      </c>
      <c r="B1371" s="25" t="inlineStr">
        <is>
          <t>Implementación de soluciones de gestión de recursos humanos (RRHH)</t>
        </is>
      </c>
      <c r="C1371" s="24" t="inlineStr">
        <is>
          <t>ERP y CRM</t>
        </is>
      </c>
      <c r="D1371" s="25" t="inlineStr">
        <is>
          <t>Soluciones De Rrhh Con Análisis De Datos Y Machine Learning.</t>
        </is>
      </c>
      <c r="E1371" s="26" t="n">
        <v>2500</v>
      </c>
      <c r="F1371" s="27">
        <f>E1371/Config!$B$1</f>
        <v/>
      </c>
      <c r="G1371" s="24" t="inlineStr">
        <is>
          <t>Real</t>
        </is>
      </c>
    </row>
    <row r="1372" ht="23.25" customHeight="1" s="19">
      <c r="A1372" s="24" t="n">
        <v>7798</v>
      </c>
      <c r="B1372" s="25" t="inlineStr">
        <is>
          <t>Implementación de soluciones de gestión de recursos humanos (RRHH)</t>
        </is>
      </c>
      <c r="C1372" s="24" t="inlineStr">
        <is>
          <t>ERP y CRM</t>
        </is>
      </c>
      <c r="D1372" s="25" t="inlineStr">
        <is>
          <t>Soluciones De Rrhh Con Análisis De Datos Y Machine Learning.</t>
        </is>
      </c>
      <c r="E1372" s="26" t="n">
        <v>2300</v>
      </c>
      <c r="F1372" s="27">
        <f>E1372/Config!$B$1</f>
        <v/>
      </c>
      <c r="G1372" s="28" t="inlineStr">
        <is>
          <t>Estimado (mediana de categoría)</t>
        </is>
      </c>
    </row>
    <row r="1373" ht="34.5" customHeight="1" s="19">
      <c r="A1373" s="24" t="n">
        <v>5974</v>
      </c>
      <c r="B1373" s="25" t="inlineStr">
        <is>
          <t>Implementación de soluciones de gestión de recursos humanos (RRHH) con análisis de datos y machine learning</t>
        </is>
      </c>
      <c r="C1373" s="24" t="inlineStr">
        <is>
          <t>ERP y CRM</t>
        </is>
      </c>
      <c r="D1373" s="25" t="inlineStr">
        <is>
          <t>Gestión De Rrhh Con Análisis De Datos</t>
        </is>
      </c>
      <c r="E1373" s="26" t="n">
        <v>14400</v>
      </c>
      <c r="F1373" s="27">
        <f>E1373/Config!$B$1</f>
        <v/>
      </c>
      <c r="G1373" s="24" t="inlineStr">
        <is>
          <t>Real</t>
        </is>
      </c>
    </row>
    <row r="1374" ht="34.5" customHeight="1" s="19">
      <c r="A1374" s="24" t="n">
        <v>7737</v>
      </c>
      <c r="B1374" s="25" t="inlineStr">
        <is>
          <t>Implementación de soluciones de gestión de recursos humanos (RRHH) con análisis de datos y machine learning</t>
        </is>
      </c>
      <c r="C1374" s="24" t="inlineStr">
        <is>
          <t>ERP y CRM</t>
        </is>
      </c>
      <c r="D1374" s="25" t="inlineStr">
        <is>
          <t>Gestión De Rrhh Con Análisis De Datos</t>
        </is>
      </c>
      <c r="E1374" s="26" t="n">
        <v>2300</v>
      </c>
      <c r="F1374" s="27">
        <f>E1374/Config!$B$1</f>
        <v/>
      </c>
      <c r="G1374" s="28" t="inlineStr">
        <is>
          <t>Estimado (mediana de categoría)</t>
        </is>
      </c>
    </row>
    <row r="1375" ht="15" customHeight="1" s="19">
      <c r="A1375" s="24" t="n">
        <v>7625</v>
      </c>
      <c r="B1375" s="25" t="inlineStr">
        <is>
          <t>Implementación de soluciones de gestión de riesgos</t>
        </is>
      </c>
      <c r="C1375" s="24" t="inlineStr">
        <is>
          <t>ERP y CRM</t>
        </is>
      </c>
      <c r="D1375" s="25" t="inlineStr">
        <is>
          <t>Soluciones De Gestión De Riesgos</t>
        </is>
      </c>
      <c r="E1375" s="26" t="n">
        <v>1260</v>
      </c>
      <c r="F1375" s="27">
        <f>E1375/Config!$B$1</f>
        <v/>
      </c>
      <c r="G1375" s="24" t="inlineStr">
        <is>
          <t>Real</t>
        </is>
      </c>
    </row>
    <row r="1376" ht="15" customHeight="1" s="19">
      <c r="A1376" s="24" t="n">
        <v>7618</v>
      </c>
      <c r="B1376" s="25" t="inlineStr">
        <is>
          <t>Implementación de soluciones de gestión de ventas</t>
        </is>
      </c>
      <c r="C1376" s="24" t="inlineStr">
        <is>
          <t>ERP y CRM</t>
        </is>
      </c>
      <c r="D1376" s="25" t="inlineStr">
        <is>
          <t>Soluciones De Gestión De Ventas</t>
        </is>
      </c>
      <c r="E1376" s="26" t="n">
        <v>1350</v>
      </c>
      <c r="F1376" s="27">
        <f>E1376/Config!$B$1</f>
        <v/>
      </c>
      <c r="G1376" s="24" t="inlineStr">
        <is>
          <t>Real</t>
        </is>
      </c>
    </row>
    <row r="1377" ht="23.25" customHeight="1" s="19">
      <c r="A1377" s="24" t="n">
        <v>7629</v>
      </c>
      <c r="B1377" s="25" t="inlineStr">
        <is>
          <t>Implementación de soluciones de gestión del conocimiento</t>
        </is>
      </c>
      <c r="C1377" s="24" t="inlineStr">
        <is>
          <t>ERP y CRM</t>
        </is>
      </c>
      <c r="D1377" s="25" t="inlineStr">
        <is>
          <t>Soluciones De Gestión Del Conocimiento</t>
        </is>
      </c>
      <c r="E1377" s="26" t="n">
        <v>1260</v>
      </c>
      <c r="F1377" s="27">
        <f>E1377/Config!$B$1</f>
        <v/>
      </c>
      <c r="G1377" s="24" t="inlineStr">
        <is>
          <t>Real</t>
        </is>
      </c>
    </row>
    <row r="1378" ht="15" customHeight="1" s="19">
      <c r="A1378" s="24" t="n">
        <v>7598</v>
      </c>
      <c r="B1378" s="25" t="inlineStr">
        <is>
          <t>Implementación de soluciones de gestión documental</t>
        </is>
      </c>
      <c r="C1378" s="24" t="inlineStr">
        <is>
          <t>ERP y CRM</t>
        </is>
      </c>
      <c r="D1378" s="25" t="inlineStr">
        <is>
          <t>Soluciones De Gestión Documental</t>
        </is>
      </c>
      <c r="E1378" s="26" t="n">
        <v>900</v>
      </c>
      <c r="F1378" s="27">
        <f>E1378/Config!$B$1</f>
        <v/>
      </c>
      <c r="G1378" s="24" t="inlineStr">
        <is>
          <t>Real</t>
        </is>
      </c>
    </row>
    <row r="1379" ht="15" customHeight="1" s="19">
      <c r="A1379" s="24" t="n">
        <v>7616</v>
      </c>
      <c r="B1379" s="25" t="inlineStr">
        <is>
          <t>Implementación de soluciones de logística</t>
        </is>
      </c>
      <c r="C1379" s="24" t="inlineStr">
        <is>
          <t>ERP y CRM</t>
        </is>
      </c>
      <c r="D1379" s="25" t="inlineStr">
        <is>
          <t>Soluciones De Logística</t>
        </is>
      </c>
      <c r="E1379" s="26" t="n">
        <v>990</v>
      </c>
      <c r="F1379" s="27">
        <f>E1379/Config!$B$1</f>
        <v/>
      </c>
      <c r="G1379" s="24" t="inlineStr">
        <is>
          <t>Real</t>
        </is>
      </c>
    </row>
    <row r="1380" ht="23.25" customHeight="1" s="19">
      <c r="A1380" s="24" t="n">
        <v>7542</v>
      </c>
      <c r="B1380" s="25" t="inlineStr">
        <is>
          <t>Integración Básica: Conecta tus sistemas, automatiza procesos y optimiza tu negocio</t>
        </is>
      </c>
      <c r="C1380" s="24" t="inlineStr">
        <is>
          <t>ERP y CRM</t>
        </is>
      </c>
      <c r="D1380" s="25" t="inlineStr">
        <is>
          <t>Integración Básica: Conecta tus sistemas y automatiza procesos</t>
        </is>
      </c>
      <c r="E1380" s="26" t="n">
        <v>800</v>
      </c>
      <c r="F1380" s="27">
        <f>E1380/Config!$B$1</f>
        <v/>
      </c>
      <c r="G1380" s="24" t="inlineStr">
        <is>
          <t>Real</t>
        </is>
      </c>
    </row>
    <row r="1381" ht="23.25" customHeight="1" s="19">
      <c r="A1381" s="24" t="n">
        <v>8403</v>
      </c>
      <c r="B1381" s="25" t="inlineStr">
        <is>
          <t>Integración ERP para Ecommerce: Sincroniza y Automatiza tus Procesos</t>
        </is>
      </c>
      <c r="C1381" s="24" t="inlineStr">
        <is>
          <t>ERP y CRM</t>
        </is>
      </c>
      <c r="D1381" s="25" t="inlineStr">
        <is>
          <t>Integración ERP para Ecommerce: Sincroniza y Automatiza tus Procesos</t>
        </is>
      </c>
      <c r="E1381" s="26" t="n">
        <v>2300</v>
      </c>
      <c r="F1381" s="27">
        <f>E1381/Config!$B$1</f>
        <v/>
      </c>
      <c r="G1381" s="28" t="inlineStr">
        <is>
          <t>Estimado (mediana de categoría)</t>
        </is>
      </c>
    </row>
    <row r="1382" ht="15" customHeight="1" s="19">
      <c r="A1382" s="24" t="n">
        <v>6873</v>
      </c>
      <c r="B1382" s="25" t="inlineStr">
        <is>
          <t>Integración ERP y CRM</t>
        </is>
      </c>
      <c r="C1382" s="24" t="inlineStr">
        <is>
          <t>ERP y CRM</t>
        </is>
      </c>
      <c r="D1382" s="25" t="inlineStr">
        <is>
          <t>Integración De Erp Con Crm.</t>
        </is>
      </c>
      <c r="E1382" s="26" t="n">
        <v>1200</v>
      </c>
      <c r="F1382" s="27">
        <f>E1382/Config!$B$1</f>
        <v/>
      </c>
      <c r="G1382" s="24" t="inlineStr">
        <is>
          <t>Real</t>
        </is>
      </c>
    </row>
    <row r="1383" ht="15" customHeight="1" s="19">
      <c r="A1383" s="24" t="n">
        <v>6882</v>
      </c>
      <c r="B1383" s="25" t="inlineStr">
        <is>
          <t>Integración ERP y CRM para Agroindustria</t>
        </is>
      </c>
      <c r="C1383" s="24" t="inlineStr">
        <is>
          <t>ERP y CRM</t>
        </is>
      </c>
      <c r="D1383" s="25" t="inlineStr">
        <is>
          <t>Integración Erp Y Crm Para Agroindustria.</t>
        </is>
      </c>
      <c r="E1383" s="26" t="n">
        <v>1400</v>
      </c>
      <c r="F1383" s="27">
        <f>E1383/Config!$B$1</f>
        <v/>
      </c>
      <c r="G1383" s="24" t="inlineStr">
        <is>
          <t>Real</t>
        </is>
      </c>
    </row>
    <row r="1384" ht="15" customHeight="1" s="19">
      <c r="A1384" s="24" t="n">
        <v>6885</v>
      </c>
      <c r="B1384" s="25" t="inlineStr">
        <is>
          <t>Integración ERP y CRM para Distribuidores</t>
        </is>
      </c>
      <c r="C1384" s="24" t="inlineStr">
        <is>
          <t>ERP y CRM</t>
        </is>
      </c>
      <c r="D1384" s="25" t="inlineStr">
        <is>
          <t>Integración Erp Y Crm Para Distribuidores.</t>
        </is>
      </c>
      <c r="E1384" s="26" t="n">
        <v>1600</v>
      </c>
      <c r="F1384" s="27">
        <f>E1384/Config!$B$1</f>
        <v/>
      </c>
      <c r="G1384" s="24" t="inlineStr">
        <is>
          <t>Real</t>
        </is>
      </c>
    </row>
    <row r="1385" ht="15" customHeight="1" s="19">
      <c r="A1385" s="24" t="n">
        <v>6879</v>
      </c>
      <c r="B1385" s="25" t="inlineStr">
        <is>
          <t>Integración ERP y CRM para Manufactura</t>
        </is>
      </c>
      <c r="C1385" s="24" t="inlineStr">
        <is>
          <t>ERP y CRM</t>
        </is>
      </c>
      <c r="D1385" s="25" t="inlineStr">
        <is>
          <t>Integración Erp Y Crm Para Manufactura.</t>
        </is>
      </c>
      <c r="E1385" s="26" t="n">
        <v>1500</v>
      </c>
      <c r="F1385" s="27">
        <f>E1385/Config!$B$1</f>
        <v/>
      </c>
      <c r="G1385" s="24" t="inlineStr">
        <is>
          <t>Real</t>
        </is>
      </c>
    </row>
    <row r="1386" ht="15" customHeight="1" s="19">
      <c r="A1386" s="24" t="n">
        <v>6894</v>
      </c>
      <c r="B1386" s="25" t="inlineStr">
        <is>
          <t>Integración ERP y CRM para Mayoristas (B2B)</t>
        </is>
      </c>
      <c r="C1386" s="24" t="inlineStr">
        <is>
          <t>ERP y CRM</t>
        </is>
      </c>
      <c r="D1386" s="25" t="inlineStr">
        <is>
          <t>Integración Erp Y Crm B2B Para Mayoristas.</t>
        </is>
      </c>
      <c r="E1386" s="26" t="n">
        <v>1700</v>
      </c>
      <c r="F1386" s="27">
        <f>E1386/Config!$B$1</f>
        <v/>
      </c>
      <c r="G1386" s="24" t="inlineStr">
        <is>
          <t>Real</t>
        </is>
      </c>
    </row>
    <row r="1387" ht="15" customHeight="1" s="19">
      <c r="A1387" s="24" t="n">
        <v>6876</v>
      </c>
      <c r="B1387" s="25" t="inlineStr">
        <is>
          <t>Integración ERP y CRM para Minoristas</t>
        </is>
      </c>
      <c r="C1387" s="24" t="inlineStr">
        <is>
          <t>ERP y CRM</t>
        </is>
      </c>
      <c r="D1387" s="25" t="inlineStr">
        <is>
          <t>Integración Erp Y Crm Para Minoristas.</t>
        </is>
      </c>
      <c r="E1387" s="26" t="n">
        <v>1300</v>
      </c>
      <c r="F1387" s="27">
        <f>E1387/Config!$B$1</f>
        <v/>
      </c>
      <c r="G1387" s="24" t="inlineStr">
        <is>
          <t>Real</t>
        </is>
      </c>
    </row>
    <row r="1388" ht="15" customHeight="1" s="19">
      <c r="A1388" s="24" t="n">
        <v>6891</v>
      </c>
      <c r="B1388" s="25" t="inlineStr">
        <is>
          <t>Integración ERP y CRM para Minoristas (B2C)</t>
        </is>
      </c>
      <c r="C1388" s="24" t="inlineStr">
        <is>
          <t>ERP y CRM</t>
        </is>
      </c>
      <c r="D1388" s="25" t="inlineStr">
        <is>
          <t>Integración Erp Y Crm B2C Para Minoristas.</t>
        </is>
      </c>
      <c r="E1388" s="26" t="n">
        <v>1500</v>
      </c>
      <c r="F1388" s="27">
        <f>E1388/Config!$B$1</f>
        <v/>
      </c>
      <c r="G1388" s="24" t="inlineStr">
        <is>
          <t>Real</t>
        </is>
      </c>
    </row>
    <row r="1389" ht="15" customHeight="1" s="19">
      <c r="A1389" s="24" t="n">
        <v>6888</v>
      </c>
      <c r="B1389" s="25" t="inlineStr">
        <is>
          <t>Integración ERP y CRM para Servicios</t>
        </is>
      </c>
      <c r="C1389" s="24" t="inlineStr">
        <is>
          <t>ERP y CRM</t>
        </is>
      </c>
      <c r="D1389" s="25" t="inlineStr">
        <is>
          <t>Integración Erp Y Crm Para Servicios.</t>
        </is>
      </c>
      <c r="E1389" s="26" t="n">
        <v>1400</v>
      </c>
      <c r="F1389" s="27">
        <f>E1389/Config!$B$1</f>
        <v/>
      </c>
      <c r="G1389" s="24" t="inlineStr">
        <is>
          <t>Real</t>
        </is>
      </c>
    </row>
    <row r="1390" ht="23.25" customHeight="1" s="19">
      <c r="A1390" s="24" t="n">
        <v>8423</v>
      </c>
      <c r="B1390" s="25" t="inlineStr">
        <is>
          <t>Integración ERP: Automatiza tu gestión empresarial conectando tus aplicaciones</t>
        </is>
      </c>
      <c r="C1390" s="24" t="inlineStr">
        <is>
          <t>ERP y CRM</t>
        </is>
      </c>
      <c r="D1390" s="25" t="inlineStr">
        <is>
          <t>Servicios de Integración de Sistemas ERP con Otras Aplicaciones</t>
        </is>
      </c>
      <c r="E1390" s="26" t="n">
        <v>2300</v>
      </c>
      <c r="F1390" s="27">
        <f>E1390/Config!$B$1</f>
        <v/>
      </c>
      <c r="G1390" s="28" t="inlineStr">
        <is>
          <t>Estimado (mediana de categoría)</t>
        </is>
      </c>
    </row>
    <row r="1391" ht="23.25" customHeight="1" s="19">
      <c r="A1391" s="24" t="n">
        <v>8356</v>
      </c>
      <c r="B1391" s="25" t="inlineStr">
        <is>
          <t>Integración ERP: Sincroniza tu tienda online con tu sistema de gestión</t>
        </is>
      </c>
      <c r="C1391" s="24" t="inlineStr">
        <is>
          <t>ERP y CRM</t>
        </is>
      </c>
      <c r="D1391" s="25" t="inlineStr">
        <is>
          <t>Integración ERP: Sincroniza tu tienda online con tu sistema de gestión empresarial</t>
        </is>
      </c>
      <c r="E1391" s="26" t="n">
        <v>2300</v>
      </c>
      <c r="F1391" s="27">
        <f>E1391/Config!$B$1</f>
        <v/>
      </c>
      <c r="G1391" s="28" t="inlineStr">
        <is>
          <t>Estimado (mediana de categoría)</t>
        </is>
      </c>
    </row>
    <row r="1392" ht="23.25" customHeight="1" s="19">
      <c r="A1392" s="24" t="n">
        <v>6655</v>
      </c>
      <c r="B1392" s="25" t="inlineStr">
        <is>
          <t>Integración ERP: Sincroniza tu tienda online con tu sistema de gestión empresarial</t>
        </is>
      </c>
      <c r="C1392" s="24" t="inlineStr">
        <is>
          <t>ERP y CRM</t>
        </is>
      </c>
      <c r="D1392" s="25" t="inlineStr">
        <is>
          <t>Integración de la tienda en línea con el ERP de la empresa.</t>
        </is>
      </c>
      <c r="E1392" s="26" t="n">
        <v>2000</v>
      </c>
      <c r="F1392" s="27">
        <f>E1392/Config!$B$1</f>
        <v/>
      </c>
      <c r="G1392" s="24" t="inlineStr">
        <is>
          <t>Real</t>
        </is>
      </c>
    </row>
    <row r="1393" ht="23.25" customHeight="1" s="19">
      <c r="A1393" s="24" t="n">
        <v>6541</v>
      </c>
      <c r="B1393" s="25" t="inlineStr">
        <is>
          <t>Integración ERP: Sincroniza tu tienda online y ERP para una gestión eficiente</t>
        </is>
      </c>
      <c r="C1393" s="24" t="inlineStr">
        <is>
          <t>ERP y CRM</t>
        </is>
      </c>
      <c r="D1393" s="25" t="inlineStr">
        <is>
          <t>Servicio de integración entre tienda online y ERP.</t>
        </is>
      </c>
      <c r="E1393" s="26" t="n">
        <v>5000</v>
      </c>
      <c r="F1393" s="27">
        <f>E1393/Config!$B$1</f>
        <v/>
      </c>
      <c r="G1393" s="24" t="inlineStr">
        <is>
          <t>Real</t>
        </is>
      </c>
    </row>
    <row r="1394" ht="23.25" customHeight="1" s="19">
      <c r="A1394" s="24" t="n">
        <v>8243</v>
      </c>
      <c r="B1394" s="25" t="inlineStr">
        <is>
          <t>Integración ERP: Sincroniza tu tienda online y ERP para una gestión eficiente</t>
        </is>
      </c>
      <c r="C1394" s="24" t="inlineStr">
        <is>
          <t>ERP y CRM</t>
        </is>
      </c>
      <c r="D1394" s="25" t="inlineStr">
        <is>
          <t>Integración ERP: Sincroniza tu tienda online y ERP para una gestión eficiente</t>
        </is>
      </c>
      <c r="E1394" s="26" t="n">
        <v>2300</v>
      </c>
      <c r="F1394" s="27">
        <f>E1394/Config!$B$1</f>
        <v/>
      </c>
      <c r="G1394" s="28" t="inlineStr">
        <is>
          <t>Estimado (mediana de categoría)</t>
        </is>
      </c>
    </row>
    <row r="1395" ht="23.25" customHeight="1" s="19">
      <c r="A1395" s="24" t="n">
        <v>7531</v>
      </c>
      <c r="B1395" s="25" t="inlineStr">
        <is>
          <t>Integración con Plataformas de Terceros: Conecta tu Negocio con el Mundo</t>
        </is>
      </c>
      <c r="C1395" s="24" t="inlineStr">
        <is>
          <t>ERP y CRM</t>
        </is>
      </c>
      <c r="D1395" s="25" t="inlineStr">
        <is>
          <t>Integración con Plataformas de Terceros: Conecta tu negocio con el mundo</t>
        </is>
      </c>
      <c r="E1395" s="26" t="n">
        <v>1000</v>
      </c>
      <c r="F1395" s="27">
        <f>E1395/Config!$B$1</f>
        <v/>
      </c>
      <c r="G1395" s="24" t="inlineStr">
        <is>
          <t>Real</t>
        </is>
      </c>
    </row>
    <row r="1396" ht="23.25" customHeight="1" s="19">
      <c r="A1396" s="24" t="n">
        <v>7550</v>
      </c>
      <c r="B1396" s="25" t="inlineStr">
        <is>
          <t>Integración con Terceros: Conecta tu negocio con el mundo</t>
        </is>
      </c>
      <c r="C1396" s="24" t="inlineStr">
        <is>
          <t>ERP y CRM</t>
        </is>
      </c>
      <c r="D1396" s="25" t="inlineStr">
        <is>
          <t>Integración con Terceros: Conecta tu ecosistema digital sin problemas</t>
        </is>
      </c>
      <c r="E1396" s="26" t="n">
        <v>800</v>
      </c>
      <c r="F1396" s="27">
        <f>E1396/Config!$B$1</f>
        <v/>
      </c>
      <c r="G1396" s="24" t="inlineStr">
        <is>
          <t>Real</t>
        </is>
      </c>
    </row>
    <row r="1397" ht="23.25" customHeight="1" s="19">
      <c r="A1397" s="24" t="n">
        <v>7507</v>
      </c>
      <c r="B1397" s="25" t="inlineStr">
        <is>
          <t>Integración de CRM: Conecta tus sistemas y optimiza tu negocio</t>
        </is>
      </c>
      <c r="C1397" s="24" t="inlineStr">
        <is>
          <t>ERP y CRM</t>
        </is>
      </c>
      <c r="D1397" s="25" t="inlineStr">
        <is>
          <t>Integración de CRM: la clave para una gestión de relaciones con el cliente excepcional</t>
        </is>
      </c>
      <c r="E1397" s="26" t="n">
        <v>2300</v>
      </c>
      <c r="F1397" s="27">
        <f>E1397/Config!$B$1</f>
        <v/>
      </c>
      <c r="G1397" s="28" t="inlineStr">
        <is>
          <t>Estimado (mediana de categoría)</t>
        </is>
      </c>
    </row>
    <row r="1398" ht="23.25" customHeight="1" s="19">
      <c r="A1398" s="24" t="n">
        <v>7523</v>
      </c>
      <c r="B1398" s="25" t="inlineStr">
        <is>
          <t>Integración de Datos: Conecta y Unifica Tus Datos para Decisiones Informadas</t>
        </is>
      </c>
      <c r="C1398" s="24" t="inlineStr">
        <is>
          <t>ERP y CRM</t>
        </is>
      </c>
      <c r="D1398" s="25" t="inlineStr">
        <is>
          <t>Integración de Datos: La clave para desbloquear el valor de tus datos</t>
        </is>
      </c>
      <c r="E1398" s="26" t="n">
        <v>1000</v>
      </c>
      <c r="F1398" s="27">
        <f>E1398/Config!$B$1</f>
        <v/>
      </c>
      <c r="G1398" s="24" t="inlineStr">
        <is>
          <t>Real</t>
        </is>
      </c>
    </row>
    <row r="1399" ht="23.25" customHeight="1" s="19">
      <c r="A1399" s="24" t="n">
        <v>6147</v>
      </c>
      <c r="B1399" s="25" t="inlineStr">
        <is>
          <t>Integración de Dolibarr y WooCommerce para la Gestión de Pedidos</t>
        </is>
      </c>
      <c r="C1399" s="24" t="inlineStr">
        <is>
          <t>ERP y CRM</t>
        </is>
      </c>
      <c r="D1399" s="25" t="inlineStr">
        <is>
          <t>Integración Erp Y Ecommerce.</t>
        </is>
      </c>
      <c r="E1399" s="26" t="n">
        <v>1800</v>
      </c>
      <c r="F1399" s="27">
        <f>E1399/Config!$B$1</f>
        <v/>
      </c>
      <c r="G1399" s="24" t="inlineStr">
        <is>
          <t>Real</t>
        </is>
      </c>
    </row>
    <row r="1400" ht="23.25" customHeight="1" s="19">
      <c r="A1400" s="24" t="n">
        <v>7871</v>
      </c>
      <c r="B1400" s="25" t="inlineStr">
        <is>
          <t>Integración de Dolibarr y WooCommerce para la Gestión de Pedidos</t>
        </is>
      </c>
      <c r="C1400" s="24" t="inlineStr">
        <is>
          <t>ERP y CRM</t>
        </is>
      </c>
      <c r="D1400" s="25" t="inlineStr">
        <is>
          <t>Integración Erp Y Ecommerce.</t>
        </is>
      </c>
      <c r="E1400" s="26" t="n">
        <v>2300</v>
      </c>
      <c r="F1400" s="27">
        <f>E1400/Config!$B$1</f>
        <v/>
      </c>
      <c r="G1400" s="28" t="inlineStr">
        <is>
          <t>Estimado (mediana de categoría)</t>
        </is>
      </c>
    </row>
    <row r="1401" ht="15" customHeight="1" s="19">
      <c r="A1401" s="24" t="n">
        <v>6603</v>
      </c>
      <c r="B1401" s="25" t="inlineStr">
        <is>
          <t>Integración de ERP SAP con Herramientas de BI</t>
        </is>
      </c>
      <c r="C1401" s="24" t="inlineStr">
        <is>
          <t>ERP y CRM</t>
        </is>
      </c>
      <c r="D1401" s="25" t="inlineStr">
        <is>
          <t>Integración De Erp Sap Con Herramientas De Bi.</t>
        </is>
      </c>
      <c r="E1401" s="26" t="n">
        <v>35000</v>
      </c>
      <c r="F1401" s="27">
        <f>E1401/Config!$B$1</f>
        <v/>
      </c>
      <c r="G1401" s="24" t="inlineStr">
        <is>
          <t>Real</t>
        </is>
      </c>
    </row>
    <row r="1402" ht="15" customHeight="1" s="19">
      <c r="A1402" s="24" t="n">
        <v>8305</v>
      </c>
      <c r="B1402" s="25" t="inlineStr">
        <is>
          <t>Integración de ERP SAP con Herramientas de BI</t>
        </is>
      </c>
      <c r="C1402" s="24" t="inlineStr">
        <is>
          <t>ERP y CRM</t>
        </is>
      </c>
      <c r="D1402" s="25" t="inlineStr">
        <is>
          <t>Integración De Erp Sap Con Herramientas De Bi.</t>
        </is>
      </c>
      <c r="E1402" s="26" t="n">
        <v>2300</v>
      </c>
      <c r="F1402" s="27">
        <f>E1402/Config!$B$1</f>
        <v/>
      </c>
      <c r="G1402" s="28" t="inlineStr">
        <is>
          <t>Estimado (mediana de categoría)</t>
        </is>
      </c>
    </row>
    <row r="1403" ht="45.75" customHeight="1" s="19">
      <c r="A1403" s="24" t="n">
        <v>7512</v>
      </c>
      <c r="B1403" s="25" t="inlineStr">
        <is>
          <t>Integración de Módulos Adicionales: Amplía las Funcionalidades de Tu Sistema</t>
        </is>
      </c>
      <c r="C1403" s="24" t="inlineStr">
        <is>
          <t>ERP y CRM</t>
        </is>
      </c>
      <c r="D1403" s="25" t="inlineStr">
        <is>
          <t>Integración de Módulos Adicionales: Optimiza tus operaciones con conectividad perfecta, automatización de procesos y personalización flexible.</t>
        </is>
      </c>
      <c r="E1403" s="26" t="n">
        <v>2300</v>
      </c>
      <c r="F1403" s="27">
        <f>E1403/Config!$B$1</f>
        <v/>
      </c>
      <c r="G1403" s="28" t="inlineStr">
        <is>
          <t>Estimado (mediana de categoría)</t>
        </is>
      </c>
    </row>
    <row r="1404" ht="34.5" customHeight="1" s="19">
      <c r="A1404" s="24" t="n">
        <v>8411</v>
      </c>
      <c r="B1404" s="25" t="inlineStr">
        <is>
          <t>Integración de Módulos ERP: Amplía las Funcionalidades de tu Sistema</t>
        </is>
      </c>
      <c r="C1404" s="24" t="inlineStr">
        <is>
          <t>ERP y CRM</t>
        </is>
      </c>
      <c r="D1404" s="25" t="inlineStr">
        <is>
          <t>Servicios de Integración de Módulos ERP: Conectando sistemas para optimizar operaciones y lograr el éxito empresarial.</t>
        </is>
      </c>
      <c r="E1404" s="26" t="n">
        <v>2300</v>
      </c>
      <c r="F1404" s="27">
        <f>E1404/Config!$B$1</f>
        <v/>
      </c>
      <c r="G1404" s="28" t="inlineStr">
        <is>
          <t>Estimado (mediana de categoría)</t>
        </is>
      </c>
    </row>
    <row r="1405" ht="15" customHeight="1" s="19">
      <c r="A1405" s="24" t="n">
        <v>6099</v>
      </c>
      <c r="B1405" s="25" t="inlineStr">
        <is>
          <t>Integración de Sistemas ERP</t>
        </is>
      </c>
      <c r="C1405" s="24" t="inlineStr">
        <is>
          <t>ERP y CRM</t>
        </is>
      </c>
      <c r="D1405" s="25" t="inlineStr">
        <is>
          <t>Integración De Erp</t>
        </is>
      </c>
      <c r="E1405" s="26" t="n">
        <v>6500</v>
      </c>
      <c r="F1405" s="27">
        <f>E1405/Config!$B$1</f>
        <v/>
      </c>
      <c r="G1405" s="24" t="inlineStr">
        <is>
          <t>Real</t>
        </is>
      </c>
    </row>
    <row r="1406" ht="15" customHeight="1" s="19">
      <c r="A1406" s="24" t="n">
        <v>7823</v>
      </c>
      <c r="B1406" s="25" t="inlineStr">
        <is>
          <t>Integración de Sistemas ERP</t>
        </is>
      </c>
      <c r="C1406" s="24" t="inlineStr">
        <is>
          <t>ERP y CRM</t>
        </is>
      </c>
      <c r="D1406" s="25" t="inlineStr">
        <is>
          <t>Integración De Erp</t>
        </is>
      </c>
      <c r="E1406" s="26" t="n">
        <v>2300</v>
      </c>
      <c r="F1406" s="27">
        <f>E1406/Config!$B$1</f>
        <v/>
      </c>
      <c r="G1406" s="28" t="inlineStr">
        <is>
          <t>Estimado (mediana de categoría)</t>
        </is>
      </c>
    </row>
    <row r="1407" ht="15" customHeight="1" s="19">
      <c r="A1407" s="24" t="n">
        <v>6047</v>
      </c>
      <c r="B1407" s="25" t="inlineStr">
        <is>
          <t>Integración de aplicaciones</t>
        </is>
      </c>
      <c r="C1407" s="24" t="inlineStr">
        <is>
          <t>ERP y CRM</t>
        </is>
      </c>
      <c r="D1407" s="25" t="inlineStr">
        <is>
          <t>Eai</t>
        </is>
      </c>
      <c r="E1407" s="26" t="n">
        <v>2300</v>
      </c>
      <c r="F1407" s="27">
        <f>E1407/Config!$B$1</f>
        <v/>
      </c>
      <c r="G1407" s="28" t="inlineStr">
        <is>
          <t>Estimado (mediana de categoría)</t>
        </is>
      </c>
    </row>
    <row r="1408" ht="23.25" customHeight="1" s="19">
      <c r="A1408" s="24" t="n">
        <v>7541</v>
      </c>
      <c r="B1408" s="25" t="inlineStr">
        <is>
          <t>Licencia de Usuario (x10): ¡Ampliá tu alcance y potenciá tu negocio!</t>
        </is>
      </c>
      <c r="C1408" s="24" t="inlineStr">
        <is>
          <t>ERP y CRM</t>
        </is>
      </c>
      <c r="D1408" s="25" t="inlineStr">
        <is>
          <t>Licencia de Usuario (x10): ¡Amplía tu alcance y potencia tu negocio!</t>
        </is>
      </c>
      <c r="E1408" s="26" t="n">
        <v>600</v>
      </c>
      <c r="F1408" s="27">
        <f>E1408/Config!$B$1</f>
        <v/>
      </c>
      <c r="G1408" s="24" t="inlineStr">
        <is>
          <t>Real</t>
        </is>
      </c>
    </row>
    <row r="1409" ht="15" customHeight="1" s="19">
      <c r="A1409" s="24" t="n">
        <v>7430</v>
      </c>
      <c r="B1409" s="25" t="inlineStr">
        <is>
          <t>Logística de Distribución</t>
        </is>
      </c>
      <c r="C1409" s="24" t="inlineStr">
        <is>
          <t>ERP y CRM</t>
        </is>
      </c>
      <c r="D1409" s="25" t="n"/>
      <c r="E1409" s="26" t="n">
        <v>2300</v>
      </c>
      <c r="F1409" s="27">
        <f>E1409/Config!$B$1</f>
        <v/>
      </c>
      <c r="G1409" s="28" t="inlineStr">
        <is>
          <t>Estimado (mediana de categoría)</t>
        </is>
      </c>
    </row>
    <row r="1410" ht="15" customHeight="1" s="19">
      <c r="A1410" s="24" t="n">
        <v>7426</v>
      </c>
      <c r="B1410" s="25" t="inlineStr">
        <is>
          <t>Logística y Distribución</t>
        </is>
      </c>
      <c r="C1410" s="24" t="inlineStr">
        <is>
          <t>ERP y CRM</t>
        </is>
      </c>
      <c r="D1410" s="25" t="n"/>
      <c r="E1410" s="26" t="n">
        <v>2300</v>
      </c>
      <c r="F1410" s="27">
        <f>E1410/Config!$B$1</f>
        <v/>
      </c>
      <c r="G1410" s="28" t="inlineStr">
        <is>
          <t>Estimado (mediana de categoría)</t>
        </is>
      </c>
    </row>
    <row r="1411" ht="23.25" customHeight="1" s="19">
      <c r="A1411" s="24" t="n">
        <v>7458</v>
      </c>
      <c r="B1411" s="25" t="inlineStr">
        <is>
          <t>Mantenimiento Adicional: Protege tu inversión y alarga la vida útil de tus equipos</t>
        </is>
      </c>
      <c r="C1411" s="24" t="inlineStr">
        <is>
          <t>ERP y CRM</t>
        </is>
      </c>
      <c r="D1411" s="25" t="n"/>
      <c r="E1411" s="26" t="n">
        <v>2300</v>
      </c>
      <c r="F1411" s="27">
        <f>E1411/Config!$B$1</f>
        <v/>
      </c>
      <c r="G1411" s="28" t="inlineStr">
        <is>
          <t>Estimado (mediana de categoría)</t>
        </is>
      </c>
    </row>
    <row r="1412" ht="23.25" customHeight="1" s="19">
      <c r="A1412" s="24" t="n">
        <v>7538</v>
      </c>
      <c r="B1412" s="25" t="inlineStr">
        <is>
          <t>Mantenimiento Anual Básico: Protege tu inversión y optimiza el rendimiento de tu equipo</t>
        </is>
      </c>
      <c r="C1412" s="24" t="inlineStr">
        <is>
          <t>ERP y CRM</t>
        </is>
      </c>
      <c r="D1412" s="25" t="inlineStr">
        <is>
          <t>Mantenimiento Anual Básico: La tranquilidad de un hogar protegido</t>
        </is>
      </c>
      <c r="E1412" s="26" t="n">
        <v>600</v>
      </c>
      <c r="F1412" s="27">
        <f>E1412/Config!$B$1</f>
        <v/>
      </c>
      <c r="G1412" s="24" t="inlineStr">
        <is>
          <t>Real</t>
        </is>
      </c>
    </row>
    <row r="1413" ht="15" customHeight="1" s="19">
      <c r="A1413" s="24" t="n">
        <v>6071</v>
      </c>
      <c r="B1413" s="25" t="inlineStr">
        <is>
          <t>Mantenimiento Predictivo</t>
        </is>
      </c>
      <c r="C1413" s="24" t="inlineStr">
        <is>
          <t>ERP y CRM</t>
        </is>
      </c>
      <c r="D1413" s="25" t="inlineStr">
        <is>
          <t>Gestión De Activos</t>
        </is>
      </c>
      <c r="E1413" s="26" t="n">
        <v>2300</v>
      </c>
      <c r="F1413" s="27">
        <f>E1413/Config!$B$1</f>
        <v/>
      </c>
      <c r="G1413" s="28" t="inlineStr">
        <is>
          <t>Estimado (mediana de categoría)</t>
        </is>
      </c>
    </row>
    <row r="1414" ht="15" customHeight="1" s="19">
      <c r="A1414" s="24" t="n">
        <v>7420</v>
      </c>
      <c r="B1414" s="25" t="inlineStr">
        <is>
          <t>Mantenimiento Preventivo y Correctivo</t>
        </is>
      </c>
      <c r="C1414" s="24" t="inlineStr">
        <is>
          <t>ERP y CRM</t>
        </is>
      </c>
      <c r="D1414" s="25" t="n"/>
      <c r="E1414" s="26" t="n">
        <v>2300</v>
      </c>
      <c r="F1414" s="27">
        <f>E1414/Config!$B$1</f>
        <v/>
      </c>
      <c r="G1414" s="28" t="inlineStr">
        <is>
          <t>Estimado (mediana de categoría)</t>
        </is>
      </c>
    </row>
    <row r="1415" ht="15" customHeight="1" s="19">
      <c r="A1415" s="24" t="n">
        <v>6836</v>
      </c>
      <c r="B1415" s="25" t="inlineStr">
        <is>
          <t>Mantenimiento de Infraestructura TI</t>
        </is>
      </c>
      <c r="C1415" s="24" t="inlineStr">
        <is>
          <t>ERP y CRM</t>
        </is>
      </c>
      <c r="D1415" s="25" t="inlineStr">
        <is>
          <t>Mantenimiento De Infraestructura Ti</t>
        </is>
      </c>
      <c r="E1415" s="26" t="n">
        <v>1800</v>
      </c>
      <c r="F1415" s="27">
        <f>E1415/Config!$B$1</f>
        <v/>
      </c>
      <c r="G1415" s="24" t="inlineStr">
        <is>
          <t>Real</t>
        </is>
      </c>
    </row>
    <row r="1416" ht="15" customHeight="1" s="19">
      <c r="A1416" s="24" t="n">
        <v>6841</v>
      </c>
      <c r="B1416" s="25" t="inlineStr">
        <is>
          <t>Mantenimiento de Sistema de Gestión de Calidad</t>
        </is>
      </c>
      <c r="C1416" s="24" t="inlineStr">
        <is>
          <t>ERP y CRM</t>
        </is>
      </c>
      <c r="D1416" s="25" t="inlineStr">
        <is>
          <t>Mantenimiento De Calidad</t>
        </is>
      </c>
      <c r="E1416" s="26" t="n">
        <v>2300</v>
      </c>
      <c r="F1416" s="27">
        <f>E1416/Config!$B$1</f>
        <v/>
      </c>
      <c r="G1416" s="24" t="inlineStr">
        <is>
          <t>Real</t>
        </is>
      </c>
    </row>
    <row r="1417" ht="15" customHeight="1" s="19">
      <c r="A1417" s="24" t="n">
        <v>6804</v>
      </c>
      <c r="B1417" s="25" t="inlineStr">
        <is>
          <t>Mantenimiento de Sistemas IT</t>
        </is>
      </c>
      <c r="C1417" s="24" t="inlineStr">
        <is>
          <t>ERP y CRM</t>
        </is>
      </c>
      <c r="D1417" s="25" t="inlineStr">
        <is>
          <t>Mantenimiento It</t>
        </is>
      </c>
      <c r="E1417" s="26" t="n">
        <v>6800</v>
      </c>
      <c r="F1417" s="27">
        <f>E1417/Config!$B$1</f>
        <v/>
      </c>
      <c r="G1417" s="24" t="inlineStr">
        <is>
          <t>Real</t>
        </is>
      </c>
    </row>
    <row r="1418" ht="15" customHeight="1" s="19">
      <c r="A1418" s="24" t="n">
        <v>6838</v>
      </c>
      <c r="B1418" s="25" t="inlineStr">
        <is>
          <t>Mantenimiento de Sistemas de Gestión Empresarial</t>
        </is>
      </c>
      <c r="C1418" s="24" t="inlineStr">
        <is>
          <t>ERP y CRM</t>
        </is>
      </c>
      <c r="D1418" s="25" t="inlineStr">
        <is>
          <t>Mantenimiento De Sistemas Erp</t>
        </is>
      </c>
      <c r="E1418" s="26" t="n">
        <v>2800</v>
      </c>
      <c r="F1418" s="27">
        <f>E1418/Config!$B$1</f>
        <v/>
      </c>
      <c r="G1418" s="24" t="inlineStr">
        <is>
          <t>Real</t>
        </is>
      </c>
    </row>
    <row r="1419" ht="15" customHeight="1" s="19">
      <c r="A1419" s="24" t="n">
        <v>7580</v>
      </c>
      <c r="B1419" s="25" t="inlineStr">
        <is>
          <t>Mantenimiento y soporte técnico para ERP</t>
        </is>
      </c>
      <c r="C1419" s="24" t="inlineStr">
        <is>
          <t>ERP y CRM</t>
        </is>
      </c>
      <c r="D1419" s="25" t="inlineStr">
        <is>
          <t>Soporte Técnico Erp</t>
        </is>
      </c>
      <c r="E1419" s="26" t="n">
        <v>360</v>
      </c>
      <c r="F1419" s="27">
        <f>E1419/Config!$B$1</f>
        <v/>
      </c>
      <c r="G1419" s="24" t="inlineStr">
        <is>
          <t>Real</t>
        </is>
      </c>
    </row>
    <row r="1420" ht="23.25" customHeight="1" s="19">
      <c r="A1420" s="24" t="n">
        <v>8412</v>
      </c>
      <c r="B1420" s="25" t="inlineStr">
        <is>
          <t>Migración de Datos a ERP: Integración Segura y Eficiente</t>
        </is>
      </c>
      <c r="C1420" s="24" t="inlineStr">
        <is>
          <t>ERP y CRM</t>
        </is>
      </c>
      <c r="D1420" s="25" t="inlineStr">
        <is>
          <t>Servicios de Migración de Datos a Sistemas ERP</t>
        </is>
      </c>
      <c r="E1420" s="26" t="n">
        <v>2300</v>
      </c>
      <c r="F1420" s="27">
        <f>E1420/Config!$B$1</f>
        <v/>
      </c>
      <c r="G1420" s="28" t="inlineStr">
        <is>
          <t>Estimado (mediana de categoría)</t>
        </is>
      </c>
    </row>
    <row r="1421" ht="23.25" customHeight="1" s="19">
      <c r="A1421" s="24" t="n">
        <v>7461</v>
      </c>
      <c r="B1421" s="25" t="inlineStr">
        <is>
          <t>Migración de Datos: Transfiere tus datos de forma segura y eficiente</t>
        </is>
      </c>
      <c r="C1421" s="24" t="inlineStr">
        <is>
          <t>ERP y CRM</t>
        </is>
      </c>
      <c r="D1421" s="25" t="inlineStr">
        <is>
          <t>Servicio de Migración de Datos: Tu aliado para una transición digital sin contratiempos</t>
        </is>
      </c>
      <c r="E1421" s="26" t="n">
        <v>2300</v>
      </c>
      <c r="F1421" s="27">
        <f>E1421/Config!$B$1</f>
        <v/>
      </c>
      <c r="G1421" s="28" t="inlineStr">
        <is>
          <t>Estimado (mediana de categoría)</t>
        </is>
      </c>
    </row>
    <row r="1422" ht="15" customHeight="1" s="19">
      <c r="A1422" s="24" t="n">
        <v>6606</v>
      </c>
      <c r="B1422" s="25" t="inlineStr">
        <is>
          <t>Migración de ERP SAP a ERP Microsoft Dynamics 365</t>
        </is>
      </c>
      <c r="C1422" s="24" t="inlineStr">
        <is>
          <t>ERP y CRM</t>
        </is>
      </c>
      <c r="D1422" s="25" t="inlineStr">
        <is>
          <t>Migración De Erp Sap A Erp Microsoft Dynamics 365.</t>
        </is>
      </c>
      <c r="E1422" s="26" t="n">
        <v>55000</v>
      </c>
      <c r="F1422" s="27">
        <f>E1422/Config!$B$1</f>
        <v/>
      </c>
      <c r="G1422" s="24" t="inlineStr">
        <is>
          <t>Real</t>
        </is>
      </c>
    </row>
    <row r="1423" ht="15" customHeight="1" s="19">
      <c r="A1423" s="24" t="n">
        <v>8308</v>
      </c>
      <c r="B1423" s="25" t="inlineStr">
        <is>
          <t>Migración de ERP SAP a ERP Microsoft Dynamics 365</t>
        </is>
      </c>
      <c r="C1423" s="24" t="inlineStr">
        <is>
          <t>ERP y CRM</t>
        </is>
      </c>
      <c r="D1423" s="25" t="inlineStr">
        <is>
          <t>Migración De Erp Sap A Erp Microsoft Dynamics 365.</t>
        </is>
      </c>
      <c r="E1423" s="26" t="n">
        <v>2300</v>
      </c>
      <c r="F1423" s="27">
        <f>E1423/Config!$B$1</f>
        <v/>
      </c>
      <c r="G1423" s="28" t="inlineStr">
        <is>
          <t>Estimado (mediana de categoría)</t>
        </is>
      </c>
    </row>
    <row r="1424" ht="15" customHeight="1" s="19">
      <c r="A1424" s="24" t="n">
        <v>6599</v>
      </c>
      <c r="B1424" s="25" t="inlineStr">
        <is>
          <t>Migración de ERP SAP a Odoo</t>
        </is>
      </c>
      <c r="C1424" s="24" t="inlineStr">
        <is>
          <t>ERP y CRM</t>
        </is>
      </c>
      <c r="D1424" s="25" t="inlineStr">
        <is>
          <t>Migración De Erp Sap A Odoo.</t>
        </is>
      </c>
      <c r="E1424" s="26" t="n">
        <v>35000</v>
      </c>
      <c r="F1424" s="27">
        <f>E1424/Config!$B$1</f>
        <v/>
      </c>
      <c r="G1424" s="24" t="inlineStr">
        <is>
          <t>Real</t>
        </is>
      </c>
    </row>
    <row r="1425" ht="15" customHeight="1" s="19">
      <c r="A1425" s="24" t="n">
        <v>8301</v>
      </c>
      <c r="B1425" s="25" t="inlineStr">
        <is>
          <t>Migración de ERP SAP a Odoo</t>
        </is>
      </c>
      <c r="C1425" s="24" t="inlineStr">
        <is>
          <t>ERP y CRM</t>
        </is>
      </c>
      <c r="D1425" s="25" t="inlineStr">
        <is>
          <t>Migración De Erp Sap A Odoo.</t>
        </is>
      </c>
      <c r="E1425" s="26" t="n">
        <v>2300</v>
      </c>
      <c r="F1425" s="27">
        <f>E1425/Config!$B$1</f>
        <v/>
      </c>
      <c r="G1425" s="28" t="inlineStr">
        <is>
          <t>Estimado (mediana de categoría)</t>
        </is>
      </c>
    </row>
    <row r="1426" ht="23.25" customHeight="1" s="19">
      <c r="A1426" s="24" t="n">
        <v>7540</v>
      </c>
      <c r="B1426" s="25" t="inlineStr">
        <is>
          <t>Módulo CRM Básico: Gestioná tus clientes de forma eficiente</t>
        </is>
      </c>
      <c r="C1426" s="24" t="inlineStr">
        <is>
          <t>ERP y CRM</t>
        </is>
      </c>
      <c r="D1426" s="25" t="inlineStr">
        <is>
          <t>Módulo CRM Básico: Gestioná tus clientes de forma eficiente</t>
        </is>
      </c>
      <c r="E1426" s="26" t="n">
        <v>500</v>
      </c>
      <c r="F1426" s="27">
        <f>E1426/Config!$B$1</f>
        <v/>
      </c>
      <c r="G1426" s="24" t="inlineStr">
        <is>
          <t>Real</t>
        </is>
      </c>
    </row>
    <row r="1427" ht="15" customHeight="1" s="19">
      <c r="A1427" s="24" t="n">
        <v>7562</v>
      </c>
      <c r="B1427" s="25" t="inlineStr">
        <is>
          <t>Módulo de mantenimiento para Dolibarr</t>
        </is>
      </c>
      <c r="C1427" s="24" t="inlineStr">
        <is>
          <t>ERP y CRM</t>
        </is>
      </c>
      <c r="D1427" s="25" t="inlineStr">
        <is>
          <t>Mantenimiento Para Dolibarr</t>
        </is>
      </c>
      <c r="E1427" s="26" t="n">
        <v>250</v>
      </c>
      <c r="F1427" s="27">
        <f>E1427/Config!$B$1</f>
        <v/>
      </c>
      <c r="G1427" s="24" t="inlineStr">
        <is>
          <t>Real</t>
        </is>
      </c>
    </row>
    <row r="1428" ht="15" customHeight="1" s="19">
      <c r="A1428" s="24" t="n">
        <v>6212</v>
      </c>
      <c r="B1428" s="25" t="inlineStr">
        <is>
          <t>Optimización de Estrategias de Compras</t>
        </is>
      </c>
      <c r="C1428" s="24" t="inlineStr">
        <is>
          <t>ERP y CRM</t>
        </is>
      </c>
      <c r="D1428" s="25" t="inlineStr">
        <is>
          <t>Optimización De Compras</t>
        </is>
      </c>
      <c r="E1428" s="26" t="n">
        <v>220</v>
      </c>
      <c r="F1428" s="27">
        <f>E1428/Config!$B$1</f>
        <v/>
      </c>
      <c r="G1428" s="24" t="inlineStr">
        <is>
          <t>Real</t>
        </is>
      </c>
    </row>
    <row r="1429" ht="15" customHeight="1" s="19">
      <c r="A1429" s="24" t="n">
        <v>7936</v>
      </c>
      <c r="B1429" s="25" t="inlineStr">
        <is>
          <t>Optimización de Estrategias de Compras</t>
        </is>
      </c>
      <c r="C1429" s="24" t="inlineStr">
        <is>
          <t>ERP y CRM</t>
        </is>
      </c>
      <c r="D1429" s="25" t="inlineStr">
        <is>
          <t>Optimización De Compras</t>
        </is>
      </c>
      <c r="E1429" s="26" t="n">
        <v>2300</v>
      </c>
      <c r="F1429" s="27">
        <f>E1429/Config!$B$1</f>
        <v/>
      </c>
      <c r="G1429" s="28" t="inlineStr">
        <is>
          <t>Estimado (mediana de categoría)</t>
        </is>
      </c>
    </row>
    <row r="1430" ht="15" customHeight="1" s="19">
      <c r="A1430" s="24" t="n">
        <v>6211</v>
      </c>
      <c r="B1430" s="25" t="inlineStr">
        <is>
          <t>Optimización de Estrategias de Producción</t>
        </is>
      </c>
      <c r="C1430" s="24" t="inlineStr">
        <is>
          <t>ERP y CRM</t>
        </is>
      </c>
      <c r="D1430" s="25" t="inlineStr">
        <is>
          <t>Optimización De Producción</t>
        </is>
      </c>
      <c r="E1430" s="26" t="n">
        <v>250</v>
      </c>
      <c r="F1430" s="27">
        <f>E1430/Config!$B$1</f>
        <v/>
      </c>
      <c r="G1430" s="24" t="inlineStr">
        <is>
          <t>Real</t>
        </is>
      </c>
    </row>
    <row r="1431" ht="15" customHeight="1" s="19">
      <c r="A1431" s="24" t="n">
        <v>7935</v>
      </c>
      <c r="B1431" s="25" t="inlineStr">
        <is>
          <t>Optimización de Estrategias de Producción</t>
        </is>
      </c>
      <c r="C1431" s="24" t="inlineStr">
        <is>
          <t>ERP y CRM</t>
        </is>
      </c>
      <c r="D1431" s="25" t="inlineStr">
        <is>
          <t>Optimización De Producción</t>
        </is>
      </c>
      <c r="E1431" s="26" t="n">
        <v>2300</v>
      </c>
      <c r="F1431" s="27">
        <f>E1431/Config!$B$1</f>
        <v/>
      </c>
      <c r="G1431" s="28" t="inlineStr">
        <is>
          <t>Estimado (mediana de categoría)</t>
        </is>
      </c>
    </row>
    <row r="1432" ht="15" customHeight="1" s="19">
      <c r="A1432" s="24" t="n">
        <v>6207</v>
      </c>
      <c r="B1432" s="25" t="inlineStr">
        <is>
          <t>Optimización de Estrategias de Recursos</t>
        </is>
      </c>
      <c r="C1432" s="24" t="inlineStr">
        <is>
          <t>ERP y CRM</t>
        </is>
      </c>
      <c r="D1432" s="25" t="inlineStr">
        <is>
          <t>Optimización De Recursos</t>
        </is>
      </c>
      <c r="E1432" s="26" t="n">
        <v>230</v>
      </c>
      <c r="F1432" s="27">
        <f>E1432/Config!$B$1</f>
        <v/>
      </c>
      <c r="G1432" s="24" t="inlineStr">
        <is>
          <t>Real</t>
        </is>
      </c>
    </row>
    <row r="1433" ht="15" customHeight="1" s="19">
      <c r="A1433" s="24" t="n">
        <v>6204</v>
      </c>
      <c r="B1433" s="25" t="inlineStr">
        <is>
          <t>Optimización de Estrategias de Ventas</t>
        </is>
      </c>
      <c r="C1433" s="24" t="inlineStr">
        <is>
          <t>ERP y CRM</t>
        </is>
      </c>
      <c r="D1433" s="25" t="inlineStr">
        <is>
          <t>Optimización De Ventas</t>
        </is>
      </c>
      <c r="E1433" s="26" t="n">
        <v>230</v>
      </c>
      <c r="F1433" s="27">
        <f>E1433/Config!$B$1</f>
        <v/>
      </c>
      <c r="G1433" s="24" t="inlineStr">
        <is>
          <t>Real</t>
        </is>
      </c>
    </row>
    <row r="1434" ht="15" customHeight="1" s="19">
      <c r="A1434" s="24" t="n">
        <v>7928</v>
      </c>
      <c r="B1434" s="25" t="inlineStr">
        <is>
          <t>Optimización de Estrategias de Ventas</t>
        </is>
      </c>
      <c r="C1434" s="24" t="inlineStr">
        <is>
          <t>ERP y CRM</t>
        </is>
      </c>
      <c r="D1434" s="25" t="inlineStr">
        <is>
          <t>Optimización De Ventas</t>
        </is>
      </c>
      <c r="E1434" s="26" t="n">
        <v>2300</v>
      </c>
      <c r="F1434" s="27">
        <f>E1434/Config!$B$1</f>
        <v/>
      </c>
      <c r="G1434" s="28" t="inlineStr">
        <is>
          <t>Estimado (mediana de categoría)</t>
        </is>
      </c>
    </row>
    <row r="1435" ht="15" customHeight="1" s="19">
      <c r="A1435" s="24" t="n">
        <v>5914</v>
      </c>
      <c r="B1435" s="25" t="inlineStr">
        <is>
          <t>Optimización de Inventarios</t>
        </is>
      </c>
      <c r="C1435" s="24" t="inlineStr">
        <is>
          <t>ERP y CRM</t>
        </is>
      </c>
      <c r="D1435" s="25" t="inlineStr">
        <is>
          <t>Optimización De Inventarios Con Odoo</t>
        </is>
      </c>
      <c r="E1435" s="26" t="n">
        <v>5500</v>
      </c>
      <c r="F1435" s="27">
        <f>E1435/Config!$B$1</f>
        <v/>
      </c>
      <c r="G1435" s="24" t="inlineStr">
        <is>
          <t>Real</t>
        </is>
      </c>
    </row>
    <row r="1436" ht="15" customHeight="1" s="19">
      <c r="A1436" s="24" t="n">
        <v>7696</v>
      </c>
      <c r="B1436" s="25" t="inlineStr">
        <is>
          <t>Optimización de Inventarios</t>
        </is>
      </c>
      <c r="C1436" s="24" t="inlineStr">
        <is>
          <t>ERP y CRM</t>
        </is>
      </c>
      <c r="D1436" s="25" t="inlineStr">
        <is>
          <t>Optimización De Inventarios Con Odoo</t>
        </is>
      </c>
      <c r="E1436" s="26" t="n">
        <v>2300</v>
      </c>
      <c r="F1436" s="27">
        <f>E1436/Config!$B$1</f>
        <v/>
      </c>
      <c r="G1436" s="28" t="inlineStr">
        <is>
          <t>Estimado (mediana de categoría)</t>
        </is>
      </c>
    </row>
    <row r="1437" ht="15" customHeight="1" s="19">
      <c r="A1437" s="24" t="n">
        <v>6209</v>
      </c>
      <c r="B1437" s="25" t="inlineStr">
        <is>
          <t>Optimización de Logística y Cadena de Suministro</t>
        </is>
      </c>
      <c r="C1437" s="24" t="inlineStr">
        <is>
          <t>ERP y CRM</t>
        </is>
      </c>
      <c r="D1437" s="25" t="inlineStr">
        <is>
          <t>Optimización De Logística</t>
        </is>
      </c>
      <c r="E1437" s="26" t="n">
        <v>240</v>
      </c>
      <c r="F1437" s="27">
        <f>E1437/Config!$B$1</f>
        <v/>
      </c>
      <c r="G1437" s="24" t="inlineStr">
        <is>
          <t>Real</t>
        </is>
      </c>
    </row>
    <row r="1438" ht="15" customHeight="1" s="19">
      <c r="A1438" s="24" t="n">
        <v>7933</v>
      </c>
      <c r="B1438" s="25" t="inlineStr">
        <is>
          <t>Optimización de Logística y Cadena de Suministro</t>
        </is>
      </c>
      <c r="C1438" s="24" t="inlineStr">
        <is>
          <t>ERP y CRM</t>
        </is>
      </c>
      <c r="D1438" s="25" t="inlineStr">
        <is>
          <t>Optimización De Logística</t>
        </is>
      </c>
      <c r="E1438" s="26" t="n">
        <v>2300</v>
      </c>
      <c r="F1438" s="27">
        <f>E1438/Config!$B$1</f>
        <v/>
      </c>
      <c r="G1438" s="28" t="inlineStr">
        <is>
          <t>Estimado (mediana de categoría)</t>
        </is>
      </c>
    </row>
    <row r="1439" ht="15" customHeight="1" s="19">
      <c r="A1439" s="24" t="n">
        <v>6201</v>
      </c>
      <c r="B1439" s="25" t="inlineStr">
        <is>
          <t>Optimización de Operaciones Logísticas</t>
        </is>
      </c>
      <c r="C1439" s="24" t="inlineStr">
        <is>
          <t>ERP y CRM</t>
        </is>
      </c>
      <c r="D1439" s="25" t="inlineStr">
        <is>
          <t>Optimización De Logística</t>
        </is>
      </c>
      <c r="E1439" s="26" t="n">
        <v>220</v>
      </c>
      <c r="F1439" s="27">
        <f>E1439/Config!$B$1</f>
        <v/>
      </c>
      <c r="G1439" s="24" t="inlineStr">
        <is>
          <t>Real</t>
        </is>
      </c>
    </row>
    <row r="1440" ht="15" customHeight="1" s="19">
      <c r="A1440" s="24" t="n">
        <v>7925</v>
      </c>
      <c r="B1440" s="25" t="inlineStr">
        <is>
          <t>Optimización de Operaciones Logísticas</t>
        </is>
      </c>
      <c r="C1440" s="24" t="inlineStr">
        <is>
          <t>ERP y CRM</t>
        </is>
      </c>
      <c r="D1440" s="25" t="inlineStr">
        <is>
          <t>Optimización De Logística</t>
        </is>
      </c>
      <c r="E1440" s="26" t="n">
        <v>2300</v>
      </c>
      <c r="F1440" s="27">
        <f>E1440/Config!$B$1</f>
        <v/>
      </c>
      <c r="G1440" s="28" t="inlineStr">
        <is>
          <t>Estimado (mediana de categoría)</t>
        </is>
      </c>
    </row>
    <row r="1441" ht="15" customHeight="1" s="19">
      <c r="A1441" s="24" t="n">
        <v>6058</v>
      </c>
      <c r="B1441" s="25" t="inlineStr">
        <is>
          <t>Optimización de Procesos de Facturación y Pagos</t>
        </is>
      </c>
      <c r="C1441" s="24" t="inlineStr">
        <is>
          <t>ERP y CRM</t>
        </is>
      </c>
      <c r="D1441" s="25" t="inlineStr">
        <is>
          <t>Facturación Y Pagos Automatizados.</t>
        </is>
      </c>
      <c r="E1441" s="26" t="n">
        <v>2700</v>
      </c>
      <c r="F1441" s="27">
        <f>E1441/Config!$B$1</f>
        <v/>
      </c>
      <c r="G1441" s="24" t="inlineStr">
        <is>
          <t>Real</t>
        </is>
      </c>
    </row>
    <row r="1442" ht="15" customHeight="1" s="19">
      <c r="A1442" s="24" t="n">
        <v>7793</v>
      </c>
      <c r="B1442" s="25" t="inlineStr">
        <is>
          <t>Optimización de Procesos de Facturación y Pagos</t>
        </is>
      </c>
      <c r="C1442" s="24" t="inlineStr">
        <is>
          <t>ERP y CRM</t>
        </is>
      </c>
      <c r="D1442" s="25" t="inlineStr">
        <is>
          <t>Facturación Y Pagos Automatizados.</t>
        </is>
      </c>
      <c r="E1442" s="26" t="n">
        <v>2300</v>
      </c>
      <c r="F1442" s="27">
        <f>E1442/Config!$B$1</f>
        <v/>
      </c>
      <c r="G1442" s="28" t="inlineStr">
        <is>
          <t>Estimado (mediana de categoría)</t>
        </is>
      </c>
    </row>
    <row r="1443" ht="15" customHeight="1" s="19">
      <c r="A1443" s="24" t="n">
        <v>6198</v>
      </c>
      <c r="B1443" s="25" t="inlineStr">
        <is>
          <t>Optimización de Recursos Humanos</t>
        </is>
      </c>
      <c r="C1443" s="24" t="inlineStr">
        <is>
          <t>ERP y CRM</t>
        </is>
      </c>
      <c r="D1443" s="25" t="inlineStr">
        <is>
          <t>Optimización De Rrhh</t>
        </is>
      </c>
      <c r="E1443" s="26" t="n">
        <v>210</v>
      </c>
      <c r="F1443" s="27">
        <f>E1443/Config!$B$1</f>
        <v/>
      </c>
      <c r="G1443" s="24" t="inlineStr">
        <is>
          <t>Real</t>
        </is>
      </c>
    </row>
    <row r="1444" ht="15" customHeight="1" s="19">
      <c r="A1444" s="24" t="n">
        <v>7922</v>
      </c>
      <c r="B1444" s="25" t="inlineStr">
        <is>
          <t>Optimización de Recursos Humanos</t>
        </is>
      </c>
      <c r="C1444" s="24" t="inlineStr">
        <is>
          <t>ERP y CRM</t>
        </is>
      </c>
      <c r="D1444" s="25" t="inlineStr">
        <is>
          <t>Optimización De Rrhh</t>
        </is>
      </c>
      <c r="E1444" s="26" t="n">
        <v>2300</v>
      </c>
      <c r="F1444" s="27">
        <f>E1444/Config!$B$1</f>
        <v/>
      </c>
      <c r="G1444" s="28" t="inlineStr">
        <is>
          <t>Estimado (mediana de categoría)</t>
        </is>
      </c>
    </row>
    <row r="1445" ht="15" customHeight="1" s="19">
      <c r="A1445" s="24" t="n">
        <v>7568</v>
      </c>
      <c r="B1445" s="25" t="inlineStr">
        <is>
          <t>Optimización de experiencia del cliente</t>
        </is>
      </c>
      <c r="C1445" s="24" t="inlineStr">
        <is>
          <t>ERP y CRM</t>
        </is>
      </c>
      <c r="D1445" s="25" t="inlineStr">
        <is>
          <t>Optimización De Experiencia</t>
        </is>
      </c>
      <c r="E1445" s="26" t="n">
        <v>3000</v>
      </c>
      <c r="F1445" s="27">
        <f>E1445/Config!$B$1</f>
        <v/>
      </c>
      <c r="G1445" s="24" t="inlineStr">
        <is>
          <t>Real</t>
        </is>
      </c>
    </row>
    <row r="1446" ht="15" customHeight="1" s="19">
      <c r="A1446" s="24" t="n">
        <v>7577</v>
      </c>
      <c r="B1446" s="25" t="inlineStr">
        <is>
          <t>Paquete de implementación de solución ERP</t>
        </is>
      </c>
      <c r="C1446" s="24" t="inlineStr">
        <is>
          <t>ERP y CRM</t>
        </is>
      </c>
      <c r="D1446" s="25" t="inlineStr">
        <is>
          <t>Implementación Erp</t>
        </is>
      </c>
      <c r="E1446" s="26" t="n">
        <v>900</v>
      </c>
      <c r="F1446" s="27">
        <f>E1446/Config!$B$1</f>
        <v/>
      </c>
      <c r="G1446" s="24" t="inlineStr">
        <is>
          <t>Real</t>
        </is>
      </c>
    </row>
    <row r="1447" ht="15" customHeight="1" s="19">
      <c r="A1447" s="24" t="n">
        <v>6055</v>
      </c>
      <c r="B1447" s="25" t="inlineStr">
        <is>
          <t>Personalización de Experiencia del Cliente</t>
        </is>
      </c>
      <c r="C1447" s="24" t="inlineStr">
        <is>
          <t>ERP y CRM</t>
        </is>
      </c>
      <c r="D1447" s="25" t="inlineStr">
        <is>
          <t>Personalización De Ofertas Y Comunicación.</t>
        </is>
      </c>
      <c r="E1447" s="26" t="n">
        <v>2500</v>
      </c>
      <c r="F1447" s="27">
        <f>E1447/Config!$B$1</f>
        <v/>
      </c>
      <c r="G1447" s="24" t="inlineStr">
        <is>
          <t>Real</t>
        </is>
      </c>
    </row>
    <row r="1448" ht="23.25" customHeight="1" s="19">
      <c r="A1448" s="24" t="n">
        <v>7405</v>
      </c>
      <c r="B1448" s="25" t="inlineStr">
        <is>
          <t>Personalización de Plataforma para Distribuidores y Mayoristas</t>
        </is>
      </c>
      <c r="C1448" s="24" t="inlineStr">
        <is>
          <t>ERP y CRM</t>
        </is>
      </c>
      <c r="D1448" s="25" t="n"/>
      <c r="E1448" s="26" t="n">
        <v>450</v>
      </c>
      <c r="F1448" s="27">
        <f>E1448/Config!$B$1</f>
        <v/>
      </c>
      <c r="G1448" s="24" t="inlineStr">
        <is>
          <t>Real</t>
        </is>
      </c>
    </row>
    <row r="1449" ht="15" customHeight="1" s="19">
      <c r="A1449" s="24" t="n">
        <v>7410</v>
      </c>
      <c r="B1449" s="25" t="inlineStr">
        <is>
          <t>Personalización y Capacitación para Servicios</t>
        </is>
      </c>
      <c r="C1449" s="24" t="inlineStr">
        <is>
          <t>ERP y CRM</t>
        </is>
      </c>
      <c r="D1449" s="25" t="n"/>
      <c r="E1449" s="26" t="n">
        <v>500</v>
      </c>
      <c r="F1449" s="27">
        <f>E1449/Config!$B$1</f>
        <v/>
      </c>
      <c r="G1449" s="24" t="inlineStr">
        <is>
          <t>Real</t>
        </is>
      </c>
    </row>
    <row r="1450" ht="45.75" customHeight="1" s="19">
      <c r="A1450" s="24" t="n">
        <v>7495</v>
      </c>
      <c r="B1450" s="25" t="inlineStr">
        <is>
          <t>Plan Básico PYME: Solución integral para el crecimiento de tu negocio</t>
        </is>
      </c>
      <c r="C1450" s="24" t="inlineStr">
        <is>
          <t>ERP y CRM</t>
        </is>
      </c>
      <c r="D1450" s="25" t="inlineStr">
        <is>
          <t>&lt;strong&gt;Plan Básico PYME: La solución integral para el crecimiento de tu negocio&lt;/strong&gt;&lt;br&gt;&lt;br&gt;Cuenta corriente, tarjeta de débito, banca móvil y online, atención al cliente dedicada.</t>
        </is>
      </c>
      <c r="E1450" s="26" t="n">
        <v>2300</v>
      </c>
      <c r="F1450" s="27">
        <f>E1450/Config!$B$1</f>
        <v/>
      </c>
      <c r="G1450" s="28" t="inlineStr">
        <is>
          <t>Estimado (mediana de categoría)</t>
        </is>
      </c>
    </row>
    <row r="1451" ht="23.25" customHeight="1" s="19">
      <c r="A1451" s="24" t="n">
        <v>7553</v>
      </c>
      <c r="B1451" s="25" t="inlineStr">
        <is>
          <t>Plan de Contingencia: Guía esencial para la preparación ante emergencias</t>
        </is>
      </c>
      <c r="C1451" s="24" t="inlineStr">
        <is>
          <t>ERP y CRM</t>
        </is>
      </c>
      <c r="D1451" s="25" t="inlineStr">
        <is>
          <t>Plan de Contingencia: Tu escudo ante lo inesperado</t>
        </is>
      </c>
      <c r="E1451" s="26" t="n">
        <v>600</v>
      </c>
      <c r="F1451" s="27">
        <f>E1451/Config!$B$1</f>
        <v/>
      </c>
      <c r="G1451" s="24" t="inlineStr">
        <is>
          <t>Real</t>
        </is>
      </c>
    </row>
    <row r="1452" ht="15" customHeight="1" s="19">
      <c r="A1452" s="24" t="n">
        <v>7418</v>
      </c>
      <c r="B1452" s="25" t="inlineStr">
        <is>
          <t>Planificación de Producción</t>
        </is>
      </c>
      <c r="C1452" s="24" t="inlineStr">
        <is>
          <t>ERP y CRM</t>
        </is>
      </c>
      <c r="D1452" s="25" t="n"/>
      <c r="E1452" s="26" t="n">
        <v>2300</v>
      </c>
      <c r="F1452" s="27">
        <f>E1452/Config!$B$1</f>
        <v/>
      </c>
      <c r="G1452" s="28" t="inlineStr">
        <is>
          <t>Estimado (mediana de categoría)</t>
        </is>
      </c>
    </row>
    <row r="1453" ht="15" customHeight="1" s="19">
      <c r="A1453" s="24" t="n">
        <v>6226</v>
      </c>
      <c r="B1453" s="25" t="inlineStr">
        <is>
          <t>Plataforma de Administración de Propiedades</t>
        </is>
      </c>
      <c r="C1453" s="24" t="inlineStr">
        <is>
          <t>ERP y CRM</t>
        </is>
      </c>
      <c r="D1453" s="25" t="inlineStr">
        <is>
          <t>Gestión De Propiedades Inmobiliarias</t>
        </is>
      </c>
      <c r="E1453" s="26" t="n">
        <v>1450</v>
      </c>
      <c r="F1453" s="27">
        <f>E1453/Config!$B$1</f>
        <v/>
      </c>
      <c r="G1453" s="24" t="inlineStr">
        <is>
          <t>Real</t>
        </is>
      </c>
    </row>
    <row r="1454" ht="15" customHeight="1" s="19">
      <c r="A1454" s="24" t="n">
        <v>7950</v>
      </c>
      <c r="B1454" s="25" t="inlineStr">
        <is>
          <t>Plataforma de Administración de Propiedades</t>
        </is>
      </c>
      <c r="C1454" s="24" t="inlineStr">
        <is>
          <t>ERP y CRM</t>
        </is>
      </c>
      <c r="D1454" s="25" t="inlineStr">
        <is>
          <t>Gestión De Propiedades Inmobiliarias</t>
        </is>
      </c>
      <c r="E1454" s="26" t="n">
        <v>2300</v>
      </c>
      <c r="F1454" s="27">
        <f>E1454/Config!$B$1</f>
        <v/>
      </c>
      <c r="G1454" s="28" t="inlineStr">
        <is>
          <t>Estimado (mediana de categoría)</t>
        </is>
      </c>
    </row>
    <row r="1455" ht="15" customHeight="1" s="19">
      <c r="A1455" s="24" t="n">
        <v>6244</v>
      </c>
      <c r="B1455" s="25" t="inlineStr">
        <is>
          <t>Plataforma de Facturación y Pagos</t>
        </is>
      </c>
      <c r="C1455" s="24" t="inlineStr">
        <is>
          <t>ERP y CRM</t>
        </is>
      </c>
      <c r="D1455" s="25" t="inlineStr">
        <is>
          <t>Automatización De Facturación Y Pagos</t>
        </is>
      </c>
      <c r="E1455" s="26" t="n">
        <v>280</v>
      </c>
      <c r="F1455" s="27">
        <f>E1455/Config!$B$1</f>
        <v/>
      </c>
      <c r="G1455" s="24" t="inlineStr">
        <is>
          <t>Real</t>
        </is>
      </c>
    </row>
    <row r="1456" ht="15" customHeight="1" s="19">
      <c r="A1456" s="24" t="n">
        <v>7968</v>
      </c>
      <c r="B1456" s="25" t="inlineStr">
        <is>
          <t>Plataforma de Facturación y Pagos</t>
        </is>
      </c>
      <c r="C1456" s="24" t="inlineStr">
        <is>
          <t>ERP y CRM</t>
        </is>
      </c>
      <c r="D1456" s="25" t="inlineStr">
        <is>
          <t>Automatización De Facturación Y Pagos</t>
        </is>
      </c>
      <c r="E1456" s="26" t="n">
        <v>2300</v>
      </c>
      <c r="F1456" s="27">
        <f>E1456/Config!$B$1</f>
        <v/>
      </c>
      <c r="G1456" s="28" t="inlineStr">
        <is>
          <t>Estimado (mediana de categoría)</t>
        </is>
      </c>
    </row>
    <row r="1457" ht="15" customHeight="1" s="19">
      <c r="A1457" s="24" t="n">
        <v>6242</v>
      </c>
      <c r="B1457" s="25" t="inlineStr">
        <is>
          <t>Plataforma de Gestión de Almacenes</t>
        </is>
      </c>
      <c r="C1457" s="24" t="inlineStr">
        <is>
          <t>ERP y CRM</t>
        </is>
      </c>
      <c r="D1457" s="25" t="inlineStr">
        <is>
          <t>Gestión De Inventarios</t>
        </is>
      </c>
      <c r="E1457" s="26" t="n">
        <v>370</v>
      </c>
      <c r="F1457" s="27">
        <f>E1457/Config!$B$1</f>
        <v/>
      </c>
      <c r="G1457" s="24" t="inlineStr">
        <is>
          <t>Real</t>
        </is>
      </c>
    </row>
    <row r="1458" ht="15" customHeight="1" s="19">
      <c r="A1458" s="24" t="n">
        <v>7966</v>
      </c>
      <c r="B1458" s="25" t="inlineStr">
        <is>
          <t>Plataforma de Gestión de Almacenes</t>
        </is>
      </c>
      <c r="C1458" s="24" t="inlineStr">
        <is>
          <t>ERP y CRM</t>
        </is>
      </c>
      <c r="D1458" s="25" t="inlineStr">
        <is>
          <t>Gestión De Inventarios</t>
        </is>
      </c>
      <c r="E1458" s="26" t="n">
        <v>2300</v>
      </c>
      <c r="F1458" s="27">
        <f>E1458/Config!$B$1</f>
        <v/>
      </c>
      <c r="G1458" s="28" t="inlineStr">
        <is>
          <t>Estimado (mediana de categoría)</t>
        </is>
      </c>
    </row>
    <row r="1459" ht="15" customHeight="1" s="19">
      <c r="A1459" s="24" t="n">
        <v>6243</v>
      </c>
      <c r="B1459" s="25" t="inlineStr">
        <is>
          <t>Plataforma de Gestión de Asociaciones</t>
        </is>
      </c>
      <c r="C1459" s="24" t="inlineStr">
        <is>
          <t>ERP y CRM</t>
        </is>
      </c>
      <c r="D1459" s="25" t="inlineStr">
        <is>
          <t>Gestión De Asociaciones</t>
        </is>
      </c>
      <c r="E1459" s="26" t="n">
        <v>320</v>
      </c>
      <c r="F1459" s="27">
        <f>E1459/Config!$B$1</f>
        <v/>
      </c>
      <c r="G1459" s="24" t="inlineStr">
        <is>
          <t>Real</t>
        </is>
      </c>
    </row>
    <row r="1460" ht="15" customHeight="1" s="19">
      <c r="A1460" s="24" t="n">
        <v>7967</v>
      </c>
      <c r="B1460" s="25" t="inlineStr">
        <is>
          <t>Plataforma de Gestión de Asociaciones</t>
        </is>
      </c>
      <c r="C1460" s="24" t="inlineStr">
        <is>
          <t>ERP y CRM</t>
        </is>
      </c>
      <c r="D1460" s="25" t="inlineStr">
        <is>
          <t>Gestión De Asociaciones</t>
        </is>
      </c>
      <c r="E1460" s="26" t="n">
        <v>2300</v>
      </c>
      <c r="F1460" s="27">
        <f>E1460/Config!$B$1</f>
        <v/>
      </c>
      <c r="G1460" s="28" t="inlineStr">
        <is>
          <t>Estimado (mediana de categoría)</t>
        </is>
      </c>
    </row>
    <row r="1461" ht="15" customHeight="1" s="19">
      <c r="A1461" s="24" t="n">
        <v>6231</v>
      </c>
      <c r="B1461" s="25" t="inlineStr">
        <is>
          <t>Plataforma de Gestión de Documentos</t>
        </is>
      </c>
      <c r="C1461" s="24" t="inlineStr">
        <is>
          <t>ERP y CRM</t>
        </is>
      </c>
      <c r="D1461" s="25" t="inlineStr">
        <is>
          <t>Gestión De Documentos</t>
        </is>
      </c>
      <c r="E1461" s="26" t="n">
        <v>1250</v>
      </c>
      <c r="F1461" s="27">
        <f>E1461/Config!$B$1</f>
        <v/>
      </c>
      <c r="G1461" s="24" t="inlineStr">
        <is>
          <t>Real</t>
        </is>
      </c>
    </row>
    <row r="1462" ht="15" customHeight="1" s="19">
      <c r="A1462" s="24" t="n">
        <v>7955</v>
      </c>
      <c r="B1462" s="25" t="inlineStr">
        <is>
          <t>Plataforma de Gestión de Documentos</t>
        </is>
      </c>
      <c r="C1462" s="24" t="inlineStr">
        <is>
          <t>ERP y CRM</t>
        </is>
      </c>
      <c r="D1462" s="25" t="inlineStr">
        <is>
          <t>Gestión De Documentos</t>
        </is>
      </c>
      <c r="E1462" s="26" t="n">
        <v>2300</v>
      </c>
      <c r="F1462" s="27">
        <f>E1462/Config!$B$1</f>
        <v/>
      </c>
      <c r="G1462" s="28" t="inlineStr">
        <is>
          <t>Estimado (mediana de categoría)</t>
        </is>
      </c>
    </row>
    <row r="1463" ht="15" customHeight="1" s="19">
      <c r="A1463" s="24" t="n">
        <v>6225</v>
      </c>
      <c r="B1463" s="25" t="inlineStr">
        <is>
          <t>Plataforma de Gestión de Flotas</t>
        </is>
      </c>
      <c r="C1463" s="24" t="inlineStr">
        <is>
          <t>ERP y CRM</t>
        </is>
      </c>
      <c r="D1463" s="25" t="inlineStr">
        <is>
          <t>Gestión De Flotas De Vehículos</t>
        </is>
      </c>
      <c r="E1463" s="26" t="n">
        <v>1600</v>
      </c>
      <c r="F1463" s="27">
        <f>E1463/Config!$B$1</f>
        <v/>
      </c>
      <c r="G1463" s="24" t="inlineStr">
        <is>
          <t>Real</t>
        </is>
      </c>
    </row>
    <row r="1464" ht="15" customHeight="1" s="19">
      <c r="A1464" s="24" t="n">
        <v>7949</v>
      </c>
      <c r="B1464" s="25" t="inlineStr">
        <is>
          <t>Plataforma de Gestión de Flotas</t>
        </is>
      </c>
      <c r="C1464" s="24" t="inlineStr">
        <is>
          <t>ERP y CRM</t>
        </is>
      </c>
      <c r="D1464" s="25" t="inlineStr">
        <is>
          <t>Gestión De Flotas De Vehículos</t>
        </is>
      </c>
      <c r="E1464" s="26" t="n">
        <v>2300</v>
      </c>
      <c r="F1464" s="27">
        <f>E1464/Config!$B$1</f>
        <v/>
      </c>
      <c r="G1464" s="28" t="inlineStr">
        <is>
          <t>Estimado (mediana de categoría)</t>
        </is>
      </c>
    </row>
    <row r="1465" ht="15" customHeight="1" s="19">
      <c r="A1465" s="24" t="n">
        <v>6239</v>
      </c>
      <c r="B1465" s="25" t="inlineStr">
        <is>
          <t>Plataforma de Gestión de Flotas de Entrega</t>
        </is>
      </c>
      <c r="C1465" s="24" t="inlineStr">
        <is>
          <t>ERP y CRM</t>
        </is>
      </c>
      <c r="D1465" s="25" t="inlineStr">
        <is>
          <t>Gestión Eficiente De Flotas De Entrega</t>
        </is>
      </c>
      <c r="E1465" s="26" t="n">
        <v>420</v>
      </c>
      <c r="F1465" s="27">
        <f>E1465/Config!$B$1</f>
        <v/>
      </c>
      <c r="G1465" s="24" t="inlineStr">
        <is>
          <t>Real</t>
        </is>
      </c>
    </row>
    <row r="1466" ht="15" customHeight="1" s="19">
      <c r="A1466" s="24" t="n">
        <v>7963</v>
      </c>
      <c r="B1466" s="25" t="inlineStr">
        <is>
          <t>Plataforma de Gestión de Flotas de Entrega</t>
        </is>
      </c>
      <c r="C1466" s="24" t="inlineStr">
        <is>
          <t>ERP y CRM</t>
        </is>
      </c>
      <c r="D1466" s="25" t="inlineStr">
        <is>
          <t>Gestión Eficiente De Flotas De Entrega</t>
        </is>
      </c>
      <c r="E1466" s="26" t="n">
        <v>2300</v>
      </c>
      <c r="F1466" s="27">
        <f>E1466/Config!$B$1</f>
        <v/>
      </c>
      <c r="G1466" s="28" t="inlineStr">
        <is>
          <t>Estimado (mediana de categoría)</t>
        </is>
      </c>
    </row>
    <row r="1467" ht="15" customHeight="1" s="19">
      <c r="A1467" s="24" t="n">
        <v>6235</v>
      </c>
      <c r="B1467" s="25" t="inlineStr">
        <is>
          <t>Plataforma de Gestión de Franquicias</t>
        </is>
      </c>
      <c r="C1467" s="24" t="inlineStr">
        <is>
          <t>ERP y CRM</t>
        </is>
      </c>
      <c r="D1467" s="25" t="inlineStr">
        <is>
          <t>Administración De Franquicias</t>
        </is>
      </c>
      <c r="E1467" s="26" t="n">
        <v>450</v>
      </c>
      <c r="F1467" s="27">
        <f>E1467/Config!$B$1</f>
        <v/>
      </c>
      <c r="G1467" s="24" t="inlineStr">
        <is>
          <t>Real</t>
        </is>
      </c>
    </row>
    <row r="1468" ht="15" customHeight="1" s="19">
      <c r="A1468" s="24" t="n">
        <v>7959</v>
      </c>
      <c r="B1468" s="25" t="inlineStr">
        <is>
          <t>Plataforma de Gestión de Franquicias</t>
        </is>
      </c>
      <c r="C1468" s="24" t="inlineStr">
        <is>
          <t>ERP y CRM</t>
        </is>
      </c>
      <c r="D1468" s="25" t="inlineStr">
        <is>
          <t>Administración De Franquicias</t>
        </is>
      </c>
      <c r="E1468" s="26" t="n">
        <v>2300</v>
      </c>
      <c r="F1468" s="27">
        <f>E1468/Config!$B$1</f>
        <v/>
      </c>
      <c r="G1468" s="28" t="inlineStr">
        <is>
          <t>Estimado (mediana de categoría)</t>
        </is>
      </c>
    </row>
    <row r="1469" ht="15" customHeight="1" s="19">
      <c r="A1469" s="24" t="n">
        <v>6238</v>
      </c>
      <c r="B1469" s="25" t="inlineStr">
        <is>
          <t>Plataforma de Gestión de Proyectos de TI</t>
        </is>
      </c>
      <c r="C1469" s="24" t="inlineStr">
        <is>
          <t>ERP y CRM</t>
        </is>
      </c>
      <c r="D1469" s="25" t="inlineStr">
        <is>
          <t>Gestión De Proyectos De Ti</t>
        </is>
      </c>
      <c r="E1469" s="26" t="n">
        <v>550</v>
      </c>
      <c r="F1469" s="27">
        <f>E1469/Config!$B$1</f>
        <v/>
      </c>
      <c r="G1469" s="24" t="inlineStr">
        <is>
          <t>Real</t>
        </is>
      </c>
    </row>
    <row r="1470" ht="15" customHeight="1" s="19">
      <c r="A1470" s="24" t="n">
        <v>7962</v>
      </c>
      <c r="B1470" s="25" t="inlineStr">
        <is>
          <t>Plataforma de Gestión de Proyectos de TI</t>
        </is>
      </c>
      <c r="C1470" s="24" t="inlineStr">
        <is>
          <t>ERP y CRM</t>
        </is>
      </c>
      <c r="D1470" s="25" t="inlineStr">
        <is>
          <t>Gestión De Proyectos De Ti</t>
        </is>
      </c>
      <c r="E1470" s="26" t="n">
        <v>2300</v>
      </c>
      <c r="F1470" s="27">
        <f>E1470/Config!$B$1</f>
        <v/>
      </c>
      <c r="G1470" s="28" t="inlineStr">
        <is>
          <t>Estimado (mediana de categoría)</t>
        </is>
      </c>
    </row>
    <row r="1471" ht="15" customHeight="1" s="19">
      <c r="A1471" s="24" t="n">
        <v>6240</v>
      </c>
      <c r="B1471" s="25" t="inlineStr">
        <is>
          <t>Plataforma de Gestión de Recursos</t>
        </is>
      </c>
      <c r="C1471" s="24" t="inlineStr">
        <is>
          <t>ERP y CRM</t>
        </is>
      </c>
      <c r="D1471" s="25" t="inlineStr">
        <is>
          <t>Administración De Recursos</t>
        </is>
      </c>
      <c r="E1471" s="26" t="n">
        <v>500</v>
      </c>
      <c r="F1471" s="27">
        <f>E1471/Config!$B$1</f>
        <v/>
      </c>
      <c r="G1471" s="24" t="inlineStr">
        <is>
          <t>Real</t>
        </is>
      </c>
    </row>
    <row r="1472" ht="15" customHeight="1" s="19">
      <c r="A1472" s="24" t="n">
        <v>7964</v>
      </c>
      <c r="B1472" s="25" t="inlineStr">
        <is>
          <t>Plataforma de Gestión de Recursos</t>
        </is>
      </c>
      <c r="C1472" s="24" t="inlineStr">
        <is>
          <t>ERP y CRM</t>
        </is>
      </c>
      <c r="D1472" s="25" t="inlineStr">
        <is>
          <t>Administración De Recursos</t>
        </is>
      </c>
      <c r="E1472" s="26" t="n">
        <v>2300</v>
      </c>
      <c r="F1472" s="27">
        <f>E1472/Config!$B$1</f>
        <v/>
      </c>
      <c r="G1472" s="28" t="inlineStr">
        <is>
          <t>Estimado (mediana de categoría)</t>
        </is>
      </c>
    </row>
    <row r="1473" ht="15" customHeight="1" s="19">
      <c r="A1473" s="24" t="n">
        <v>6255</v>
      </c>
      <c r="B1473" s="25" t="inlineStr">
        <is>
          <t>Plataforma de Gestión de Relaciones Comerciales</t>
        </is>
      </c>
      <c r="C1473" s="24" t="inlineStr">
        <is>
          <t>ERP y CRM</t>
        </is>
      </c>
      <c r="D1473" s="25" t="inlineStr">
        <is>
          <t>Gestión De Relaciones Comerciales</t>
        </is>
      </c>
      <c r="E1473" s="26" t="n">
        <v>550</v>
      </c>
      <c r="F1473" s="27">
        <f>E1473/Config!$B$1</f>
        <v/>
      </c>
      <c r="G1473" s="24" t="inlineStr">
        <is>
          <t>Real</t>
        </is>
      </c>
    </row>
    <row r="1474" ht="15" customHeight="1" s="19">
      <c r="A1474" s="24" t="n">
        <v>7979</v>
      </c>
      <c r="B1474" s="25" t="inlineStr">
        <is>
          <t>Plataforma de Gestión de Relaciones Comerciales</t>
        </is>
      </c>
      <c r="C1474" s="24" t="inlineStr">
        <is>
          <t>ERP y CRM</t>
        </is>
      </c>
      <c r="D1474" s="25" t="inlineStr">
        <is>
          <t>Gestión De Relaciones Comerciales</t>
        </is>
      </c>
      <c r="E1474" s="26" t="n">
        <v>2300</v>
      </c>
      <c r="F1474" s="27">
        <f>E1474/Config!$B$1</f>
        <v/>
      </c>
      <c r="G1474" s="28" t="inlineStr">
        <is>
          <t>Estimado (mediana de categoría)</t>
        </is>
      </c>
    </row>
    <row r="1475" ht="15" customHeight="1" s="19">
      <c r="A1475" s="24" t="n">
        <v>6254</v>
      </c>
      <c r="B1475" s="25" t="inlineStr">
        <is>
          <t>Plataforma de Gestión de Relaciones Empresariales</t>
        </is>
      </c>
      <c r="C1475" s="24" t="inlineStr">
        <is>
          <t>ERP y CRM</t>
        </is>
      </c>
      <c r="D1475" s="25" t="inlineStr">
        <is>
          <t>Gestión De Relaciones Empresariales</t>
        </is>
      </c>
      <c r="E1475" s="26" t="n">
        <v>970</v>
      </c>
      <c r="F1475" s="27">
        <f>E1475/Config!$B$1</f>
        <v/>
      </c>
      <c r="G1475" s="24" t="inlineStr">
        <is>
          <t>Real</t>
        </is>
      </c>
    </row>
    <row r="1476" ht="15" customHeight="1" s="19">
      <c r="A1476" s="24" t="n">
        <v>7978</v>
      </c>
      <c r="B1476" s="25" t="inlineStr">
        <is>
          <t>Plataforma de Gestión de Relaciones Empresariales</t>
        </is>
      </c>
      <c r="C1476" s="24" t="inlineStr">
        <is>
          <t>ERP y CRM</t>
        </is>
      </c>
      <c r="D1476" s="25" t="inlineStr">
        <is>
          <t>Gestión De Relaciones Empresariales</t>
        </is>
      </c>
      <c r="E1476" s="26" t="n">
        <v>2300</v>
      </c>
      <c r="F1476" s="27">
        <f>E1476/Config!$B$1</f>
        <v/>
      </c>
      <c r="G1476" s="28" t="inlineStr">
        <is>
          <t>Estimado (mediana de categoría)</t>
        </is>
      </c>
    </row>
    <row r="1477" ht="15" customHeight="1" s="19">
      <c r="A1477" s="24" t="n">
        <v>6256</v>
      </c>
      <c r="B1477" s="25" t="inlineStr">
        <is>
          <t>Plataforma de Gestión de Relaciones con Clientes</t>
        </is>
      </c>
      <c r="C1477" s="24" t="inlineStr">
        <is>
          <t>ERP y CRM</t>
        </is>
      </c>
      <c r="D1477" s="25" t="inlineStr">
        <is>
          <t>Gestión De Relaciones Con Clientes</t>
        </is>
      </c>
      <c r="E1477" s="26" t="n">
        <v>720</v>
      </c>
      <c r="F1477" s="27">
        <f>E1477/Config!$B$1</f>
        <v/>
      </c>
      <c r="G1477" s="24" t="inlineStr">
        <is>
          <t>Real</t>
        </is>
      </c>
    </row>
    <row r="1478" ht="15" customHeight="1" s="19">
      <c r="A1478" s="24" t="n">
        <v>7980</v>
      </c>
      <c r="B1478" s="25" t="inlineStr">
        <is>
          <t>Plataforma de Gestión de Relaciones con Clientes</t>
        </is>
      </c>
      <c r="C1478" s="24" t="inlineStr">
        <is>
          <t>ERP y CRM</t>
        </is>
      </c>
      <c r="D1478" s="25" t="inlineStr">
        <is>
          <t>Gestión De Relaciones Con Clientes</t>
        </is>
      </c>
      <c r="E1478" s="26" t="n">
        <v>2300</v>
      </c>
      <c r="F1478" s="27">
        <f>E1478/Config!$B$1</f>
        <v/>
      </c>
      <c r="G1478" s="28" t="inlineStr">
        <is>
          <t>Estimado (mediana de categoría)</t>
        </is>
      </c>
    </row>
    <row r="1479" ht="23.25" customHeight="1" s="19">
      <c r="A1479" s="24" t="n">
        <v>6251</v>
      </c>
      <c r="B1479" s="25" t="inlineStr">
        <is>
          <t>Plataforma de Gestión de Relaciones con Clientes y Proveedores</t>
        </is>
      </c>
      <c r="C1479" s="24" t="inlineStr">
        <is>
          <t>ERP y CRM</t>
        </is>
      </c>
      <c r="D1479" s="25" t="inlineStr">
        <is>
          <t>Gestión De Relaciones Con Clientes Y Proveedores</t>
        </is>
      </c>
      <c r="E1479" s="26" t="n">
        <v>320</v>
      </c>
      <c r="F1479" s="27">
        <f>E1479/Config!$B$1</f>
        <v/>
      </c>
      <c r="G1479" s="24" t="inlineStr">
        <is>
          <t>Real</t>
        </is>
      </c>
    </row>
    <row r="1480" ht="23.25" customHeight="1" s="19">
      <c r="A1480" s="24" t="n">
        <v>7975</v>
      </c>
      <c r="B1480" s="25" t="inlineStr">
        <is>
          <t>Plataforma de Gestión de Relaciones con Clientes y Proveedores</t>
        </is>
      </c>
      <c r="C1480" s="24" t="inlineStr">
        <is>
          <t>ERP y CRM</t>
        </is>
      </c>
      <c r="D1480" s="25" t="inlineStr">
        <is>
          <t>Gestión De Relaciones Con Clientes Y Proveedores</t>
        </is>
      </c>
      <c r="E1480" s="26" t="n">
        <v>2300</v>
      </c>
      <c r="F1480" s="27">
        <f>E1480/Config!$B$1</f>
        <v/>
      </c>
      <c r="G1480" s="28" t="inlineStr">
        <is>
          <t>Estimado (mediana de categoría)</t>
        </is>
      </c>
    </row>
    <row r="1481" ht="15" customHeight="1" s="19">
      <c r="A1481" s="24" t="n">
        <v>6252</v>
      </c>
      <c r="B1481" s="25" t="inlineStr">
        <is>
          <t>Plataforma de Gestión de Relaciones con Empleados</t>
        </is>
      </c>
      <c r="C1481" s="24" t="inlineStr">
        <is>
          <t>ERP y CRM</t>
        </is>
      </c>
      <c r="D1481" s="25" t="inlineStr">
        <is>
          <t>Gestión De Relaciones Con Empleados</t>
        </is>
      </c>
      <c r="E1481" s="26" t="n">
        <v>670</v>
      </c>
      <c r="F1481" s="27">
        <f>E1481/Config!$B$1</f>
        <v/>
      </c>
      <c r="G1481" s="24" t="inlineStr">
        <is>
          <t>Real</t>
        </is>
      </c>
    </row>
    <row r="1482" ht="15" customHeight="1" s="19">
      <c r="A1482" s="24" t="n">
        <v>7976</v>
      </c>
      <c r="B1482" s="25" t="inlineStr">
        <is>
          <t>Plataforma de Gestión de Relaciones con Empleados</t>
        </is>
      </c>
      <c r="C1482" s="24" t="inlineStr">
        <is>
          <t>ERP y CRM</t>
        </is>
      </c>
      <c r="D1482" s="25" t="inlineStr">
        <is>
          <t>Gestión De Relaciones Con Empleados</t>
        </is>
      </c>
      <c r="E1482" s="26" t="n">
        <v>2300</v>
      </c>
      <c r="F1482" s="27">
        <f>E1482/Config!$B$1</f>
        <v/>
      </c>
      <c r="G1482" s="28" t="inlineStr">
        <is>
          <t>Estimado (mediana de categoría)</t>
        </is>
      </c>
    </row>
    <row r="1483" ht="15" customHeight="1" s="19">
      <c r="A1483" s="24" t="n">
        <v>6257</v>
      </c>
      <c r="B1483" s="25" t="inlineStr">
        <is>
          <t>Plataforma de Gestión de Relaciones con Proveedores</t>
        </is>
      </c>
      <c r="C1483" s="24" t="inlineStr">
        <is>
          <t>ERP y CRM</t>
        </is>
      </c>
      <c r="D1483" s="25" t="inlineStr">
        <is>
          <t>Gestión De Relaciones Con Proveedores</t>
        </is>
      </c>
      <c r="E1483" s="26" t="n">
        <v>460</v>
      </c>
      <c r="F1483" s="27">
        <f>E1483/Config!$B$1</f>
        <v/>
      </c>
      <c r="G1483" s="24" t="inlineStr">
        <is>
          <t>Real</t>
        </is>
      </c>
    </row>
    <row r="1484" ht="15" customHeight="1" s="19">
      <c r="A1484" s="24" t="n">
        <v>7981</v>
      </c>
      <c r="B1484" s="25" t="inlineStr">
        <is>
          <t>Plataforma de Gestión de Relaciones con Proveedores</t>
        </is>
      </c>
      <c r="C1484" s="24" t="inlineStr">
        <is>
          <t>ERP y CRM</t>
        </is>
      </c>
      <c r="D1484" s="25" t="inlineStr">
        <is>
          <t>Gestión De Relaciones Con Proveedores</t>
        </is>
      </c>
      <c r="E1484" s="26" t="n">
        <v>2300</v>
      </c>
      <c r="F1484" s="27">
        <f>E1484/Config!$B$1</f>
        <v/>
      </c>
      <c r="G1484" s="28" t="inlineStr">
        <is>
          <t>Estimado (mediana de categoría)</t>
        </is>
      </c>
    </row>
    <row r="1485" ht="15" customHeight="1" s="19">
      <c r="A1485" s="24" t="n">
        <v>6253</v>
      </c>
      <c r="B1485" s="25" t="inlineStr">
        <is>
          <t>Plataforma de Gestión de Relaciones con Stakeholders</t>
        </is>
      </c>
      <c r="C1485" s="24" t="inlineStr">
        <is>
          <t>ERP y CRM</t>
        </is>
      </c>
      <c r="D1485" s="25" t="inlineStr">
        <is>
          <t>Gestión De Relaciones Con Stakeholders</t>
        </is>
      </c>
      <c r="E1485" s="26" t="n">
        <v>1070</v>
      </c>
      <c r="F1485" s="27">
        <f>E1485/Config!$B$1</f>
        <v/>
      </c>
      <c r="G1485" s="24" t="inlineStr">
        <is>
          <t>Real</t>
        </is>
      </c>
    </row>
    <row r="1486" ht="15" customHeight="1" s="19">
      <c r="A1486" s="24" t="n">
        <v>7977</v>
      </c>
      <c r="B1486" s="25" t="inlineStr">
        <is>
          <t>Plataforma de Gestión de Relaciones con Stakeholders</t>
        </is>
      </c>
      <c r="C1486" s="24" t="inlineStr">
        <is>
          <t>ERP y CRM</t>
        </is>
      </c>
      <c r="D1486" s="25" t="inlineStr">
        <is>
          <t>Gestión De Relaciones Con Stakeholders</t>
        </is>
      </c>
      <c r="E1486" s="26" t="n">
        <v>2300</v>
      </c>
      <c r="F1486" s="27">
        <f>E1486/Config!$B$1</f>
        <v/>
      </c>
      <c r="G1486" s="28" t="inlineStr">
        <is>
          <t>Estimado (mediana de categoría)</t>
        </is>
      </c>
    </row>
    <row r="1487" ht="15" customHeight="1" s="19">
      <c r="A1487" s="24" t="n">
        <v>6258</v>
      </c>
      <c r="B1487" s="25" t="inlineStr">
        <is>
          <t>Plataforma de Optimización de Relaciones con Clientes</t>
        </is>
      </c>
      <c r="C1487" s="24" t="inlineStr">
        <is>
          <t>ERP y CRM</t>
        </is>
      </c>
      <c r="D1487" s="25" t="inlineStr">
        <is>
          <t>Optimización De Relaciones Con Clientes</t>
        </is>
      </c>
      <c r="E1487" s="26" t="n">
        <v>1230</v>
      </c>
      <c r="F1487" s="27">
        <f>E1487/Config!$B$1</f>
        <v/>
      </c>
      <c r="G1487" s="24" t="inlineStr">
        <is>
          <t>Real</t>
        </is>
      </c>
    </row>
    <row r="1488" ht="15" customHeight="1" s="19">
      <c r="A1488" s="24" t="n">
        <v>7982</v>
      </c>
      <c r="B1488" s="25" t="inlineStr">
        <is>
          <t>Plataforma de Optimización de Relaciones con Clientes</t>
        </is>
      </c>
      <c r="C1488" s="24" t="inlineStr">
        <is>
          <t>ERP y CRM</t>
        </is>
      </c>
      <c r="D1488" s="25" t="inlineStr">
        <is>
          <t>Optimización De Relaciones Con Clientes</t>
        </is>
      </c>
      <c r="E1488" s="26" t="n">
        <v>2300</v>
      </c>
      <c r="F1488" s="27">
        <f>E1488/Config!$B$1</f>
        <v/>
      </c>
      <c r="G1488" s="28" t="inlineStr">
        <is>
          <t>Estimado (mediana de categoría)</t>
        </is>
      </c>
    </row>
    <row r="1489" ht="15" customHeight="1" s="19">
      <c r="A1489" s="24" t="n">
        <v>6234</v>
      </c>
      <c r="B1489" s="25" t="inlineStr">
        <is>
          <t>Plataforma de Programación de Citas</t>
        </is>
      </c>
      <c r="C1489" s="24" t="inlineStr">
        <is>
          <t>ERP y CRM</t>
        </is>
      </c>
      <c r="D1489" s="25" t="inlineStr">
        <is>
          <t>Programación Fácil De Citas</t>
        </is>
      </c>
      <c r="E1489" s="26" t="n">
        <v>180</v>
      </c>
      <c r="F1489" s="27">
        <f>E1489/Config!$B$1</f>
        <v/>
      </c>
      <c r="G1489" s="24" t="inlineStr">
        <is>
          <t>Real</t>
        </is>
      </c>
    </row>
    <row r="1490" ht="15" customHeight="1" s="19">
      <c r="A1490" s="24" t="n">
        <v>7958</v>
      </c>
      <c r="B1490" s="25" t="inlineStr">
        <is>
          <t>Plataforma de Programación de Citas</t>
        </is>
      </c>
      <c r="C1490" s="24" t="inlineStr">
        <is>
          <t>ERP y CRM</t>
        </is>
      </c>
      <c r="D1490" s="25" t="inlineStr">
        <is>
          <t>Programación Fácil De Citas</t>
        </is>
      </c>
      <c r="E1490" s="26" t="n">
        <v>2300</v>
      </c>
      <c r="F1490" s="27">
        <f>E1490/Config!$B$1</f>
        <v/>
      </c>
      <c r="G1490" s="28" t="inlineStr">
        <is>
          <t>Estimado (mediana de categoría)</t>
        </is>
      </c>
    </row>
    <row r="1491" ht="15" customHeight="1" s="19">
      <c r="A1491" s="24" t="n">
        <v>5900</v>
      </c>
      <c r="B1491" s="25" t="inlineStr">
        <is>
          <t>Project Management Platforms</t>
        </is>
      </c>
      <c r="C1491" s="24" t="inlineStr">
        <is>
          <t>ERP y CRM</t>
        </is>
      </c>
      <c r="D1491" s="25" t="inlineStr">
        <is>
          <t>Gestión De Proyectos</t>
        </is>
      </c>
      <c r="E1491" s="26" t="n">
        <v>7000</v>
      </c>
      <c r="F1491" s="27">
        <f>E1491/Config!$B$1</f>
        <v/>
      </c>
      <c r="G1491" s="24" t="inlineStr">
        <is>
          <t>Real</t>
        </is>
      </c>
    </row>
    <row r="1492" ht="15" customHeight="1" s="19">
      <c r="A1492" s="24" t="n">
        <v>7682</v>
      </c>
      <c r="B1492" s="25" t="inlineStr">
        <is>
          <t>Project Management Platforms</t>
        </is>
      </c>
      <c r="C1492" s="24" t="inlineStr">
        <is>
          <t>ERP y CRM</t>
        </is>
      </c>
      <c r="D1492" s="25" t="inlineStr">
        <is>
          <t>Gestión De Proyectos</t>
        </is>
      </c>
      <c r="E1492" s="26" t="n">
        <v>2300</v>
      </c>
      <c r="F1492" s="27">
        <f>E1492/Config!$B$1</f>
        <v/>
      </c>
      <c r="G1492" s="28" t="inlineStr">
        <is>
          <t>Estimado (mediana de categoría)</t>
        </is>
      </c>
    </row>
    <row r="1493" ht="15" customHeight="1" s="19">
      <c r="A1493" s="24" t="n">
        <v>6318</v>
      </c>
      <c r="B1493" s="25" t="inlineStr">
        <is>
          <t>Recursos humanos</t>
        </is>
      </c>
      <c r="C1493" s="24" t="inlineStr">
        <is>
          <t>ERP y CRM</t>
        </is>
      </c>
      <c r="D1493" s="25" t="inlineStr">
        <is>
          <t>Servicios De Gestión De Recursos Humanos.</t>
        </is>
      </c>
      <c r="E1493" s="26" t="n">
        <v>1080</v>
      </c>
      <c r="F1493" s="27">
        <f>E1493/Config!$B$1</f>
        <v/>
      </c>
      <c r="G1493" s="24" t="inlineStr">
        <is>
          <t>Real</t>
        </is>
      </c>
    </row>
    <row r="1494" ht="15" customHeight="1" s="19">
      <c r="A1494" s="24" t="n">
        <v>8029</v>
      </c>
      <c r="B1494" s="25" t="inlineStr">
        <is>
          <t>Recursos humanos</t>
        </is>
      </c>
      <c r="C1494" s="24" t="inlineStr">
        <is>
          <t>ERP y CRM</t>
        </is>
      </c>
      <c r="D1494" s="25" t="inlineStr">
        <is>
          <t>Servicios De Gestión De Recursos Humanos.</t>
        </is>
      </c>
      <c r="E1494" s="26" t="n">
        <v>2300</v>
      </c>
      <c r="F1494" s="27">
        <f>E1494/Config!$B$1</f>
        <v/>
      </c>
      <c r="G1494" s="28" t="inlineStr">
        <is>
          <t>Estimado (mediana de categoría)</t>
        </is>
      </c>
    </row>
    <row r="1495" ht="15" customHeight="1" s="19">
      <c r="A1495" s="24" t="n">
        <v>6141</v>
      </c>
      <c r="B1495" s="25" t="inlineStr">
        <is>
          <t>Seguimiento de Pedidos</t>
        </is>
      </c>
      <c r="C1495" s="24" t="inlineStr">
        <is>
          <t>ERP y CRM</t>
        </is>
      </c>
      <c r="D1495" s="25" t="n"/>
      <c r="E1495" s="26" t="n">
        <v>2300</v>
      </c>
      <c r="F1495" s="27">
        <f>E1495/Config!$B$1</f>
        <v/>
      </c>
      <c r="G1495" s="28" t="inlineStr">
        <is>
          <t>Estimado (mediana de categoría)</t>
        </is>
      </c>
    </row>
    <row r="1496" ht="23.25" customHeight="1" s="19">
      <c r="A1496" s="24" t="n">
        <v>7865</v>
      </c>
      <c r="B1496" s="25" t="inlineStr">
        <is>
          <t>Seguimiento de Pedidos: ¡Monitoreá tus envíos en tiempo real y disfrutá de compras sin preocupaciones!</t>
        </is>
      </c>
      <c r="C1496" s="24" t="inlineStr">
        <is>
          <t>ERP y CRM</t>
        </is>
      </c>
      <c r="D1496" s="25" t="inlineStr">
        <is>
          <t>Seguimiento de Pedidos: ¡Monitoreá tus envíos en tiempo real!</t>
        </is>
      </c>
      <c r="E1496" s="26" t="n">
        <v>2300</v>
      </c>
      <c r="F1496" s="27">
        <f>E1496/Config!$B$1</f>
        <v/>
      </c>
      <c r="G1496" s="28" t="inlineStr">
        <is>
          <t>Estimado (mediana de categoría)</t>
        </is>
      </c>
    </row>
    <row r="1497" ht="15" customHeight="1" s="19">
      <c r="A1497" s="24" t="n">
        <v>7436</v>
      </c>
      <c r="B1497" s="25" t="inlineStr">
        <is>
          <t>Seguimiento de Tiempos y Costos</t>
        </is>
      </c>
      <c r="C1497" s="24" t="inlineStr">
        <is>
          <t>ERP y CRM</t>
        </is>
      </c>
      <c r="D1497" s="25" t="n"/>
      <c r="E1497" s="26" t="n">
        <v>2300</v>
      </c>
      <c r="F1497" s="27">
        <f>E1497/Config!$B$1</f>
        <v/>
      </c>
      <c r="G1497" s="28" t="inlineStr">
        <is>
          <t>Estimado (mediana de categoría)</t>
        </is>
      </c>
    </row>
    <row r="1498" ht="15" customHeight="1" s="19">
      <c r="A1498" s="24" t="n">
        <v>7421</v>
      </c>
      <c r="B1498" s="25" t="inlineStr">
        <is>
          <t>Seguimiento de la Cadena de Suministro</t>
        </is>
      </c>
      <c r="C1498" s="24" t="inlineStr">
        <is>
          <t>ERP y CRM</t>
        </is>
      </c>
      <c r="D1498" s="25" t="n"/>
      <c r="E1498" s="26" t="n">
        <v>2300</v>
      </c>
      <c r="F1498" s="27">
        <f>E1498/Config!$B$1</f>
        <v/>
      </c>
      <c r="G1498" s="28" t="inlineStr">
        <is>
          <t>Estimado (mediana de categoría)</t>
        </is>
      </c>
    </row>
    <row r="1499" ht="34.5" customHeight="1" s="19">
      <c r="A1499" s="24" t="n">
        <v>8268</v>
      </c>
      <c r="B1499" s="25" t="inlineStr">
        <is>
          <t>Servicio de Gestión de Inventario y Logística: Optimiza tu Ecommerce</t>
        </is>
      </c>
      <c r="C1499" s="24" t="inlineStr">
        <is>
          <t>ERP y CRM</t>
        </is>
      </c>
      <c r="D1499" s="25" t="inlineStr">
        <is>
          <t>Servicio de Gestión de Inventario y Logística para E-commerce: Optimiza tus operaciones, reduce costos y mejora la satisfacción del cliente.</t>
        </is>
      </c>
      <c r="E1499" s="26" t="n">
        <v>2300</v>
      </c>
      <c r="F1499" s="27">
        <f>E1499/Config!$B$1</f>
        <v/>
      </c>
      <c r="G1499" s="28" t="inlineStr">
        <is>
          <t>Estimado (mediana de categoría)</t>
        </is>
      </c>
    </row>
    <row r="1500" ht="23.25" customHeight="1" s="19">
      <c r="A1500" s="24" t="n">
        <v>6604</v>
      </c>
      <c r="B1500" s="25" t="inlineStr">
        <is>
          <t>Servicio de Soporte y Mantenimiento de ERP Microsoft Dynamics 365</t>
        </is>
      </c>
      <c r="C1500" s="24" t="inlineStr">
        <is>
          <t>ERP y CRM</t>
        </is>
      </c>
      <c r="D1500" s="25" t="inlineStr">
        <is>
          <t>Soporte Y Mantenimiento De Erp Microsoft Dynamics 365.</t>
        </is>
      </c>
      <c r="E1500" s="26" t="n">
        <v>8000</v>
      </c>
      <c r="F1500" s="27">
        <f>E1500/Config!$B$1</f>
        <v/>
      </c>
      <c r="G1500" s="24" t="inlineStr">
        <is>
          <t>Real</t>
        </is>
      </c>
    </row>
    <row r="1501" ht="23.25" customHeight="1" s="19">
      <c r="A1501" s="24" t="n">
        <v>8306</v>
      </c>
      <c r="B1501" s="25" t="inlineStr">
        <is>
          <t>Servicio de Soporte y Mantenimiento de ERP Microsoft Dynamics 365</t>
        </is>
      </c>
      <c r="C1501" s="24" t="inlineStr">
        <is>
          <t>ERP y CRM</t>
        </is>
      </c>
      <c r="D1501" s="25" t="inlineStr">
        <is>
          <t>Soporte Y Mantenimiento De Erp Microsoft Dynamics 365.</t>
        </is>
      </c>
      <c r="E1501" s="26" t="n">
        <v>2300</v>
      </c>
      <c r="F1501" s="27">
        <f>E1501/Config!$B$1</f>
        <v/>
      </c>
      <c r="G1501" s="28" t="inlineStr">
        <is>
          <t>Estimado (mediana de categoría)</t>
        </is>
      </c>
    </row>
    <row r="1502" ht="23.25" customHeight="1" s="19">
      <c r="A1502" s="24" t="n">
        <v>6715</v>
      </c>
      <c r="B1502" s="25" t="inlineStr">
        <is>
          <t>Servicios de Auditoría y Optimización de ERP</t>
        </is>
      </c>
      <c r="C1502" s="24" t="inlineStr">
        <is>
          <t>ERP y CRM</t>
        </is>
      </c>
      <c r="D1502" s="25" t="inlineStr">
        <is>
          <t>Servicios De Auditoría Y Optimización De Sistemas Erp.</t>
        </is>
      </c>
      <c r="E1502" s="26" t="n">
        <v>5000</v>
      </c>
      <c r="F1502" s="27">
        <f>E1502/Config!$B$1</f>
        <v/>
      </c>
      <c r="G1502" s="24" t="inlineStr">
        <is>
          <t>Real</t>
        </is>
      </c>
    </row>
    <row r="1503" ht="23.25" customHeight="1" s="19">
      <c r="A1503" s="24" t="n">
        <v>6717</v>
      </c>
      <c r="B1503" s="25" t="inlineStr">
        <is>
          <t>Servicios de Certificación y Validación de ERP</t>
        </is>
      </c>
      <c r="C1503" s="24" t="inlineStr">
        <is>
          <t>ERP y CRM</t>
        </is>
      </c>
      <c r="D1503" s="25" t="inlineStr">
        <is>
          <t>Servicios De Certificación Y Validación De Sistemas Erp.</t>
        </is>
      </c>
      <c r="E1503" s="26" t="n">
        <v>5000</v>
      </c>
      <c r="F1503" s="27">
        <f>E1503/Config!$B$1</f>
        <v/>
      </c>
      <c r="G1503" s="24" t="inlineStr">
        <is>
          <t>Real</t>
        </is>
      </c>
    </row>
    <row r="1504" ht="23.25" customHeight="1" s="19">
      <c r="A1504" s="24" t="n">
        <v>8418</v>
      </c>
      <c r="B1504" s="25" t="inlineStr">
        <is>
          <t>Servicios de Certificación y Validación de ERP: Garantía de Cumplimiento y Eficiencia</t>
        </is>
      </c>
      <c r="C1504" s="24" t="inlineStr">
        <is>
          <t>ERP y CRM</t>
        </is>
      </c>
      <c r="D1504" s="25" t="inlineStr">
        <is>
          <t>Servicios de Certificación y Validación de Sistemas Erp.</t>
        </is>
      </c>
      <c r="E1504" s="26" t="n">
        <v>2300</v>
      </c>
      <c r="F1504" s="27">
        <f>E1504/Config!$B$1</f>
        <v/>
      </c>
      <c r="G1504" s="28" t="inlineStr">
        <is>
          <t>Estimado (mediana de categoría)</t>
        </is>
      </c>
    </row>
    <row r="1505" ht="23.25" customHeight="1" s="19">
      <c r="A1505" s="24" t="n">
        <v>6720</v>
      </c>
      <c r="B1505" s="25" t="inlineStr">
        <is>
          <t>Servicios de Consultoría Estratégica en ERP</t>
        </is>
      </c>
      <c r="C1505" s="24" t="inlineStr">
        <is>
          <t>ERP y CRM</t>
        </is>
      </c>
      <c r="D1505" s="25" t="inlineStr">
        <is>
          <t>Servicios De Consultoría Estratégica En Sistemas Erp.</t>
        </is>
      </c>
      <c r="E1505" s="26" t="n">
        <v>10000</v>
      </c>
      <c r="F1505" s="27">
        <f>E1505/Config!$B$1</f>
        <v/>
      </c>
      <c r="G1505" s="24" t="inlineStr">
        <is>
          <t>Real</t>
        </is>
      </c>
    </row>
    <row r="1506" ht="23.25" customHeight="1" s="19">
      <c r="A1506" s="24" t="n">
        <v>8421</v>
      </c>
      <c r="B1506" s="25" t="inlineStr">
        <is>
          <t>Servicios de Consultoría Estratégica en ERP: Optimiza tu Negocio con Soluciones Personalizadas</t>
        </is>
      </c>
      <c r="C1506" s="24" t="inlineStr">
        <is>
          <t>ERP y CRM</t>
        </is>
      </c>
      <c r="D1506" s="25" t="inlineStr">
        <is>
          <t>Servicios de Consultoría Estratégica en Sistemas ERP</t>
        </is>
      </c>
      <c r="E1506" s="26" t="n">
        <v>2300</v>
      </c>
      <c r="F1506" s="27">
        <f>E1506/Config!$B$1</f>
        <v/>
      </c>
      <c r="G1506" s="28" t="inlineStr">
        <is>
          <t>Estimado (mediana de categoría)</t>
        </is>
      </c>
    </row>
    <row r="1507" ht="23.25" customHeight="1" s="19">
      <c r="A1507" s="24" t="n">
        <v>6716</v>
      </c>
      <c r="B1507" s="25" t="inlineStr">
        <is>
          <t>Servicios de Desarrollo de Extensiones ERP</t>
        </is>
      </c>
      <c r="C1507" s="24" t="inlineStr">
        <is>
          <t>ERP y CRM</t>
        </is>
      </c>
      <c r="D1507" s="25" t="inlineStr">
        <is>
          <t>Servicios De Desarrollo De Extensiones Y Complementos Para Sistemas Erp.</t>
        </is>
      </c>
      <c r="E1507" s="26" t="n">
        <v>10000</v>
      </c>
      <c r="F1507" s="27">
        <f>E1507/Config!$B$1</f>
        <v/>
      </c>
      <c r="G1507" s="24" t="inlineStr">
        <is>
          <t>Real</t>
        </is>
      </c>
    </row>
    <row r="1508" ht="34.5" customHeight="1" s="19">
      <c r="A1508" s="24" t="n">
        <v>8417</v>
      </c>
      <c r="B1508" s="25" t="inlineStr">
        <is>
          <t>Servicios de Desarrollo de Extensiones ERP: Personalización, Integración y Automatización para Optimizar tu ERP</t>
        </is>
      </c>
      <c r="C1508" s="24" t="inlineStr">
        <is>
          <t>ERP y CRM</t>
        </is>
      </c>
      <c r="D1508" s="25" t="inlineStr">
        <is>
          <t>Servicios de Desarrollo de Extensiones y Complementos para Sistemas ERP</t>
        </is>
      </c>
      <c r="E1508" s="26" t="n">
        <v>2300</v>
      </c>
      <c r="F1508" s="27">
        <f>E1508/Config!$B$1</f>
        <v/>
      </c>
      <c r="G1508" s="28" t="inlineStr">
        <is>
          <t>Estimado (mediana de categoría)</t>
        </is>
      </c>
    </row>
    <row r="1509" ht="15" customHeight="1" s="19">
      <c r="A1509" s="24" t="n">
        <v>6709</v>
      </c>
      <c r="B1509" s="25" t="inlineStr">
        <is>
          <t>Servicios de Implementación de ERP</t>
        </is>
      </c>
      <c r="C1509" s="24" t="inlineStr">
        <is>
          <t>ERP y CRM</t>
        </is>
      </c>
      <c r="D1509" s="25" t="inlineStr">
        <is>
          <t>Servicios De Implementación De Sistemas Erp.</t>
        </is>
      </c>
      <c r="E1509" s="26" t="n">
        <v>20000</v>
      </c>
      <c r="F1509" s="27">
        <f>E1509/Config!$B$1</f>
        <v/>
      </c>
      <c r="G1509" s="24" t="inlineStr">
        <is>
          <t>Real</t>
        </is>
      </c>
    </row>
    <row r="1510" ht="23.25" customHeight="1" s="19">
      <c r="A1510" s="24" t="n">
        <v>5944</v>
      </c>
      <c r="B1510" s="25" t="inlineStr">
        <is>
          <t>Servicios de Integración de Aplicaciones Empresariales (EAI)</t>
        </is>
      </c>
      <c r="C1510" s="24" t="inlineStr">
        <is>
          <t>ERP y CRM</t>
        </is>
      </c>
      <c r="D1510" s="25" t="inlineStr">
        <is>
          <t>Integración De Aplicaciones Empresariales</t>
        </is>
      </c>
      <c r="E1510" s="26" t="n">
        <v>6000</v>
      </c>
      <c r="F1510" s="27">
        <f>E1510/Config!$B$1</f>
        <v/>
      </c>
      <c r="G1510" s="24" t="inlineStr">
        <is>
          <t>Real</t>
        </is>
      </c>
    </row>
    <row r="1511" ht="23.25" customHeight="1" s="19">
      <c r="A1511" s="24" t="n">
        <v>7726</v>
      </c>
      <c r="B1511" s="25" t="inlineStr">
        <is>
          <t>Servicios de Integración de Aplicaciones Empresariales (EAI)</t>
        </is>
      </c>
      <c r="C1511" s="24" t="inlineStr">
        <is>
          <t>ERP y CRM</t>
        </is>
      </c>
      <c r="D1511" s="25" t="inlineStr">
        <is>
          <t>Integración De Aplicaciones Empresariales</t>
        </is>
      </c>
      <c r="E1511" s="26" t="n">
        <v>2300</v>
      </c>
      <c r="F1511" s="27">
        <f>E1511/Config!$B$1</f>
        <v/>
      </c>
      <c r="G1511" s="28" t="inlineStr">
        <is>
          <t>Estimado (mediana de categoría)</t>
        </is>
      </c>
    </row>
    <row r="1512" ht="15" customHeight="1" s="19">
      <c r="A1512" s="24" t="n">
        <v>6702</v>
      </c>
      <c r="B1512" s="25" t="inlineStr">
        <is>
          <t>Servicios de Integración de ERP Ecommerce</t>
        </is>
      </c>
      <c r="C1512" s="24" t="inlineStr">
        <is>
          <t>ERP y CRM</t>
        </is>
      </c>
      <c r="D1512" s="25" t="inlineStr">
        <is>
          <t>Integración De Erp Para Ecommerce.</t>
        </is>
      </c>
      <c r="E1512" s="26" t="n">
        <v>3000</v>
      </c>
      <c r="F1512" s="27">
        <f>E1512/Config!$B$1</f>
        <v/>
      </c>
      <c r="G1512" s="24" t="inlineStr">
        <is>
          <t>Real</t>
        </is>
      </c>
    </row>
    <row r="1513" ht="23.25" customHeight="1" s="19">
      <c r="A1513" s="24" t="n">
        <v>6722</v>
      </c>
      <c r="B1513" s="25" t="inlineStr">
        <is>
          <t>Servicios de Integración de ERP con otras Aplicaciones</t>
        </is>
      </c>
      <c r="C1513" s="24" t="inlineStr">
        <is>
          <t>ERP y CRM</t>
        </is>
      </c>
      <c r="D1513" s="25" t="inlineStr">
        <is>
          <t>Servicios De Integración De Sistemas Erp Con Otras Aplicaciones.</t>
        </is>
      </c>
      <c r="E1513" s="26" t="n">
        <v>10000</v>
      </c>
      <c r="F1513" s="27">
        <f>E1513/Config!$B$1</f>
        <v/>
      </c>
      <c r="G1513" s="24" t="inlineStr">
        <is>
          <t>Real</t>
        </is>
      </c>
    </row>
    <row r="1514" ht="15" customHeight="1" s="19">
      <c r="A1514" s="24" t="n">
        <v>6710</v>
      </c>
      <c r="B1514" s="25" t="inlineStr">
        <is>
          <t>Servicios de Integración de Módulos ERP</t>
        </is>
      </c>
      <c r="C1514" s="24" t="inlineStr">
        <is>
          <t>ERP y CRM</t>
        </is>
      </c>
      <c r="D1514" s="25" t="inlineStr">
        <is>
          <t>Servicios De Integración De Módulos A Sistemas Erp.</t>
        </is>
      </c>
      <c r="E1514" s="26" t="n">
        <v>5000</v>
      </c>
      <c r="F1514" s="27">
        <f>E1514/Config!$B$1</f>
        <v/>
      </c>
      <c r="G1514" s="24" t="inlineStr">
        <is>
          <t>Real</t>
        </is>
      </c>
    </row>
    <row r="1515" ht="23.25" customHeight="1" s="19">
      <c r="A1515" s="24" t="n">
        <v>6694</v>
      </c>
      <c r="B1515" s="25" t="inlineStr">
        <is>
          <t>Servicios de Integración de Sistemas Ecommerce</t>
        </is>
      </c>
      <c r="C1515" s="24" t="inlineStr">
        <is>
          <t>ERP y CRM</t>
        </is>
      </c>
      <c r="D1515" s="25" t="inlineStr">
        <is>
          <t>Servicios De Integración De Sistemas Para Ecommerce.</t>
        </is>
      </c>
      <c r="E1515" s="26" t="n">
        <v>1500</v>
      </c>
      <c r="F1515" s="27">
        <f>E1515/Config!$B$1</f>
        <v/>
      </c>
      <c r="G1515" s="24" t="inlineStr">
        <is>
          <t>Real</t>
        </is>
      </c>
    </row>
    <row r="1516" ht="15" customHeight="1" s="19">
      <c r="A1516" s="24" t="n">
        <v>6711</v>
      </c>
      <c r="B1516" s="25" t="inlineStr">
        <is>
          <t>Servicios de Migración de Datos a ERP</t>
        </is>
      </c>
      <c r="C1516" s="24" t="inlineStr">
        <is>
          <t>ERP y CRM</t>
        </is>
      </c>
      <c r="D1516" s="25" t="inlineStr">
        <is>
          <t>Servicios De Migración De Datos A Sistemas Erp.</t>
        </is>
      </c>
      <c r="E1516" s="26" t="n">
        <v>3000</v>
      </c>
      <c r="F1516" s="27">
        <f>E1516/Config!$B$1</f>
        <v/>
      </c>
      <c r="G1516" s="24" t="inlineStr">
        <is>
          <t>Real</t>
        </is>
      </c>
    </row>
    <row r="1517" ht="15" customHeight="1" s="19">
      <c r="A1517" s="24" t="n">
        <v>6718</v>
      </c>
      <c r="B1517" s="25" t="inlineStr">
        <is>
          <t>Servicios de Migración de ERP</t>
        </is>
      </c>
      <c r="C1517" s="24" t="inlineStr">
        <is>
          <t>ERP y CRM</t>
        </is>
      </c>
      <c r="D1517" s="25" t="inlineStr">
        <is>
          <t>Servicios De Migración De Sistemas Erp.</t>
        </is>
      </c>
      <c r="E1517" s="26" t="n">
        <v>20000</v>
      </c>
      <c r="F1517" s="27">
        <f>E1517/Config!$B$1</f>
        <v/>
      </c>
      <c r="G1517" s="24" t="inlineStr">
        <is>
          <t>Real</t>
        </is>
      </c>
    </row>
    <row r="1518" ht="23.25" customHeight="1" s="19">
      <c r="A1518" s="24" t="n">
        <v>8419</v>
      </c>
      <c r="B1518" s="25" t="inlineStr">
        <is>
          <t>Servicios de Migración de ERP: La clave para una transformación empresarial sin problemas</t>
        </is>
      </c>
      <c r="C1518" s="24" t="inlineStr">
        <is>
          <t>ERP y CRM</t>
        </is>
      </c>
      <c r="D1518" s="25" t="inlineStr">
        <is>
          <t>Servicios de Migración de Sistemas ERP: La clave para una transformación empresarial sin problemas</t>
        </is>
      </c>
      <c r="E1518" s="26" t="n">
        <v>2300</v>
      </c>
      <c r="F1518" s="27">
        <f>E1518/Config!$B$1</f>
        <v/>
      </c>
      <c r="G1518" s="28" t="inlineStr">
        <is>
          <t>Estimado (mediana de categoría)</t>
        </is>
      </c>
    </row>
    <row r="1519" ht="15" customHeight="1" s="19">
      <c r="A1519" s="24" t="n">
        <v>6712</v>
      </c>
      <c r="B1519" s="25" t="inlineStr">
        <is>
          <t>Servicios de Personalización de ERP</t>
        </is>
      </c>
      <c r="C1519" s="24" t="inlineStr">
        <is>
          <t>ERP y CRM</t>
        </is>
      </c>
      <c r="D1519" s="25" t="inlineStr">
        <is>
          <t>Servicios De Personalización De Sistemas Erp.</t>
        </is>
      </c>
      <c r="E1519" s="26" t="n">
        <v>10000</v>
      </c>
      <c r="F1519" s="27">
        <f>E1519/Config!$B$1</f>
        <v/>
      </c>
      <c r="G1519" s="24" t="inlineStr">
        <is>
          <t>Real</t>
        </is>
      </c>
    </row>
    <row r="1520" ht="23.25" customHeight="1" s="19">
      <c r="A1520" s="24" t="n">
        <v>8413</v>
      </c>
      <c r="B1520" s="25" t="inlineStr">
        <is>
          <t>Servicios de Personalización de ERP: Adapta tu Sistema a tus Necesidades Específicas</t>
        </is>
      </c>
      <c r="C1520" s="24" t="inlineStr">
        <is>
          <t>ERP y CRM</t>
        </is>
      </c>
      <c r="D1520" s="25" t="inlineStr">
        <is>
          <t>Servicios de Personalización de Sistemas Erp</t>
        </is>
      </c>
      <c r="E1520" s="26" t="n">
        <v>2300</v>
      </c>
      <c r="F1520" s="27">
        <f>E1520/Config!$B$1</f>
        <v/>
      </c>
      <c r="G1520" s="28" t="inlineStr">
        <is>
          <t>Estimado (mediana de categoría)</t>
        </is>
      </c>
    </row>
    <row r="1521" ht="23.25" customHeight="1" s="19">
      <c r="A1521" s="24" t="n">
        <v>6714</v>
      </c>
      <c r="B1521" s="25" t="inlineStr">
        <is>
          <t>Servicios de Soporte y Mantenimiento de ERP</t>
        </is>
      </c>
      <c r="C1521" s="24" t="inlineStr">
        <is>
          <t>ERP y CRM</t>
        </is>
      </c>
      <c r="D1521" s="25" t="inlineStr">
        <is>
          <t>Servicios De Soporte Y Mantenimiento De Sistemas Erp.</t>
        </is>
      </c>
      <c r="E1521" s="26" t="n">
        <v>2000</v>
      </c>
      <c r="F1521" s="27">
        <f>E1521/Config!$B$1</f>
        <v/>
      </c>
      <c r="G1521" s="24" t="inlineStr">
        <is>
          <t>Real</t>
        </is>
      </c>
    </row>
    <row r="1522" ht="23.25" customHeight="1" s="19">
      <c r="A1522" s="24" t="n">
        <v>6341</v>
      </c>
      <c r="B1522" s="25" t="inlineStr">
        <is>
          <t>Servicios de contabilidad y finanzas</t>
        </is>
      </c>
      <c r="C1522" s="24" t="inlineStr">
        <is>
          <t>ERP y CRM</t>
        </is>
      </c>
      <c r="D1522" s="25" t="inlineStr">
        <is>
          <t>Servicios De Contabilidad, Finanzas Y Asesoría Fiscal Para Empresas.</t>
        </is>
      </c>
      <c r="E1522" s="26" t="n">
        <v>9000</v>
      </c>
      <c r="F1522" s="27">
        <f>E1522/Config!$B$1</f>
        <v/>
      </c>
      <c r="G1522" s="24" t="inlineStr">
        <is>
          <t>Real</t>
        </is>
      </c>
    </row>
    <row r="1523" ht="23.25" customHeight="1" s="19">
      <c r="A1523" s="24" t="n">
        <v>8052</v>
      </c>
      <c r="B1523" s="25" t="inlineStr">
        <is>
          <t>Servicios de contabilidad y finanzas</t>
        </is>
      </c>
      <c r="C1523" s="24" t="inlineStr">
        <is>
          <t>ERP y CRM</t>
        </is>
      </c>
      <c r="D1523" s="25" t="inlineStr">
        <is>
          <t>Servicios De Contabilidad, Finanzas Y Asesoría Fiscal Para Empresas.</t>
        </is>
      </c>
      <c r="E1523" s="26" t="n">
        <v>2300</v>
      </c>
      <c r="F1523" s="27">
        <f>E1523/Config!$B$1</f>
        <v/>
      </c>
      <c r="G1523" s="28" t="inlineStr">
        <is>
          <t>Estimado (mediana de categoría)</t>
        </is>
      </c>
    </row>
    <row r="1524" ht="34.5" customHeight="1" s="19">
      <c r="A1524" s="24" t="n">
        <v>6436</v>
      </c>
      <c r="B1524" s="25" t="inlineStr">
        <is>
          <t>Servicios de desarrollo de aplicaciones de gestión de la cadena de suministro</t>
        </is>
      </c>
      <c r="C1524" s="24" t="inlineStr">
        <is>
          <t>ERP y CRM</t>
        </is>
      </c>
      <c r="D1524" s="25" t="inlineStr">
        <is>
          <t>Servicios De Consultoría Y Construcción De Aplicaciones Para Optimizar, Automatizar Y Hacer Más Eficiente La Cadena De Suministro.</t>
        </is>
      </c>
      <c r="E1524" s="26" t="n">
        <v>25200</v>
      </c>
      <c r="F1524" s="27">
        <f>E1524/Config!$B$1</f>
        <v/>
      </c>
      <c r="G1524" s="24" t="inlineStr">
        <is>
          <t>Real</t>
        </is>
      </c>
    </row>
    <row r="1525" ht="34.5" customHeight="1" s="19">
      <c r="A1525" s="24" t="n">
        <v>8147</v>
      </c>
      <c r="B1525" s="25" t="inlineStr">
        <is>
          <t>Servicios de desarrollo de aplicaciones de gestión de la cadena de suministro</t>
        </is>
      </c>
      <c r="C1525" s="24" t="inlineStr">
        <is>
          <t>ERP y CRM</t>
        </is>
      </c>
      <c r="D1525" s="25" t="inlineStr">
        <is>
          <t>Servicios De Consultoría Y Construcción De Aplicaciones Para Optimizar, Automatizar Y Hacer Más Eficiente La Cadena De Suministro.</t>
        </is>
      </c>
      <c r="E1525" s="26" t="n">
        <v>2300</v>
      </c>
      <c r="F1525" s="27">
        <f>E1525/Config!$B$1</f>
        <v/>
      </c>
      <c r="G1525" s="28" t="inlineStr">
        <is>
          <t>Estimado (mediana de categoría)</t>
        </is>
      </c>
    </row>
    <row r="1526" ht="23.25" customHeight="1" s="19">
      <c r="A1526" s="24" t="n">
        <v>8062</v>
      </c>
      <c r="B1526" s="25" t="inlineStr">
        <is>
          <t>Servicios de gestión de proyectos</t>
        </is>
      </c>
      <c r="C1526" s="24" t="inlineStr">
        <is>
          <t>ERP y CRM</t>
        </is>
      </c>
      <c r="D1526" s="25" t="inlineStr">
        <is>
          <t>Servicios Integrales De Gestión Y Dirección De Proyectos Empresariales.</t>
        </is>
      </c>
      <c r="E1526" s="26" t="n">
        <v>2300</v>
      </c>
      <c r="F1526" s="27">
        <f>E1526/Config!$B$1</f>
        <v/>
      </c>
      <c r="G1526" s="28" t="inlineStr">
        <is>
          <t>Estimado (mediana de categoría)</t>
        </is>
      </c>
    </row>
    <row r="1527" ht="23.25" customHeight="1" s="19">
      <c r="A1527" s="24" t="n">
        <v>8083</v>
      </c>
      <c r="B1527" s="25" t="inlineStr">
        <is>
          <t>Servicios de gestión de proyectos de TI</t>
        </is>
      </c>
      <c r="C1527" s="24" t="inlineStr">
        <is>
          <t>ERP y CRM</t>
        </is>
      </c>
      <c r="D1527" s="25" t="inlineStr">
        <is>
          <t>Servicios De Consultoría Y Liderazgo En La Gestión De Iniciativas Y Proyectos De Ti.</t>
        </is>
      </c>
      <c r="E1527" s="26" t="n">
        <v>2300</v>
      </c>
      <c r="F1527" s="27">
        <f>E1527/Config!$B$1</f>
        <v/>
      </c>
      <c r="G1527" s="28" t="inlineStr">
        <is>
          <t>Estimado (mediana de categoría)</t>
        </is>
      </c>
    </row>
    <row r="1528" ht="23.25" customHeight="1" s="19">
      <c r="A1528" s="24" t="n">
        <v>8121</v>
      </c>
      <c r="B1528" s="25" t="inlineStr">
        <is>
          <t>Servicios de gestión de proyectos y transformación ágil</t>
        </is>
      </c>
      <c r="C1528" s="24" t="inlineStr">
        <is>
          <t>ERP y CRM</t>
        </is>
      </c>
      <c r="D1528" s="25" t="inlineStr">
        <is>
          <t>Servicios De Consultoría Y Acompañamiento En La Gestión De Proyectos De Cambio Y Mejora Continua.</t>
        </is>
      </c>
      <c r="E1528" s="26" t="n">
        <v>2300</v>
      </c>
      <c r="F1528" s="27">
        <f>E1528/Config!$B$1</f>
        <v/>
      </c>
      <c r="G1528" s="28" t="inlineStr">
        <is>
          <t>Estimado (mediana de categoría)</t>
        </is>
      </c>
    </row>
    <row r="1529" ht="23.25" customHeight="1" s="19">
      <c r="A1529" s="24" t="n">
        <v>6343</v>
      </c>
      <c r="B1529" s="25" t="inlineStr">
        <is>
          <t>Servicios de gestión de talento</t>
        </is>
      </c>
      <c r="C1529" s="24" t="inlineStr">
        <is>
          <t>ERP y CRM</t>
        </is>
      </c>
      <c r="D1529" s="25" t="inlineStr">
        <is>
          <t>Servicios Integrales De Gestión Y Desarrollo Del Talento Dentro De Las Organizaciones.</t>
        </is>
      </c>
      <c r="E1529" s="26" t="n">
        <v>13500</v>
      </c>
      <c r="F1529" s="27">
        <f>E1529/Config!$B$1</f>
        <v/>
      </c>
      <c r="G1529" s="24" t="inlineStr">
        <is>
          <t>Real</t>
        </is>
      </c>
    </row>
    <row r="1530" ht="23.25" customHeight="1" s="19">
      <c r="A1530" s="24" t="n">
        <v>8054</v>
      </c>
      <c r="B1530" s="25" t="inlineStr">
        <is>
          <t>Servicios de gestión de talento</t>
        </is>
      </c>
      <c r="C1530" s="24" t="inlineStr">
        <is>
          <t>ERP y CRM</t>
        </is>
      </c>
      <c r="D1530" s="25" t="inlineStr">
        <is>
          <t>Servicios Integrales De Gestión Y Desarrollo Del Talento Dentro De Las Organizaciones.</t>
        </is>
      </c>
      <c r="E1530" s="26" t="n">
        <v>2300</v>
      </c>
      <c r="F1530" s="27">
        <f>E1530/Config!$B$1</f>
        <v/>
      </c>
      <c r="G1530" s="28" t="inlineStr">
        <is>
          <t>Estimado (mediana de categoría)</t>
        </is>
      </c>
    </row>
    <row r="1531" ht="34.5" customHeight="1" s="19">
      <c r="A1531" s="24" t="n">
        <v>6429</v>
      </c>
      <c r="B1531" s="25" t="inlineStr">
        <is>
          <t>Servicios de implementación de soluciones de gestión de la relación con el cliente (CRM)</t>
        </is>
      </c>
      <c r="C1531" s="24" t="inlineStr">
        <is>
          <t>ERP y CRM</t>
        </is>
      </c>
      <c r="D1531" s="25" t="inlineStr">
        <is>
          <t>Servicios De Consultoría Y Despliegue De Soluciones De Gestión Integral De Relaciones Con Clientes, Ventas Y Servicio Al Cliente.</t>
        </is>
      </c>
      <c r="E1531" s="26" t="n">
        <v>27000</v>
      </c>
      <c r="F1531" s="27">
        <f>E1531/Config!$B$1</f>
        <v/>
      </c>
      <c r="G1531" s="24" t="inlineStr">
        <is>
          <t>Real</t>
        </is>
      </c>
    </row>
    <row r="1532" ht="34.5" customHeight="1" s="19">
      <c r="A1532" s="24" t="n">
        <v>8140</v>
      </c>
      <c r="B1532" s="25" t="inlineStr">
        <is>
          <t>Servicios de implementación de soluciones de gestión de la relación con el cliente (CRM)</t>
        </is>
      </c>
      <c r="C1532" s="24" t="inlineStr">
        <is>
          <t>ERP y CRM</t>
        </is>
      </c>
      <c r="D1532" s="25" t="inlineStr">
        <is>
          <t>Servicios De Consultoría Y Despliegue De Soluciones De Gestión Integral De Relaciones Con Clientes, Ventas Y Servicio Al Cliente.</t>
        </is>
      </c>
      <c r="E1532" s="26" t="n">
        <v>2300</v>
      </c>
      <c r="F1532" s="27">
        <f>E1532/Config!$B$1</f>
        <v/>
      </c>
      <c r="G1532" s="28" t="inlineStr">
        <is>
          <t>Estimado (mediana de categoría)</t>
        </is>
      </c>
    </row>
    <row r="1533" ht="34.5" customHeight="1" s="19">
      <c r="A1533" s="24" t="n">
        <v>6427</v>
      </c>
      <c r="B1533" s="25" t="inlineStr">
        <is>
          <t>Servicios de implementación de soluciones de gestión empresarial (ERP)</t>
        </is>
      </c>
      <c r="C1533" s="24" t="inlineStr">
        <is>
          <t>ERP y CRM</t>
        </is>
      </c>
      <c r="D1533" s="25" t="inlineStr">
        <is>
          <t>Servicios De Consultoría Y Despliegue De Soluciones De Gestión Integral De Procesos Y Recursos De Negocio.</t>
        </is>
      </c>
      <c r="E1533" s="26" t="n">
        <v>31500</v>
      </c>
      <c r="F1533" s="27">
        <f>E1533/Config!$B$1</f>
        <v/>
      </c>
      <c r="G1533" s="24" t="inlineStr">
        <is>
          <t>Real</t>
        </is>
      </c>
    </row>
    <row r="1534" ht="34.5" customHeight="1" s="19">
      <c r="A1534" s="24" t="n">
        <v>8138</v>
      </c>
      <c r="B1534" s="25" t="inlineStr">
        <is>
          <t>Servicios de implementación de soluciones de gestión empresarial (ERP)</t>
        </is>
      </c>
      <c r="C1534" s="24" t="inlineStr">
        <is>
          <t>ERP y CRM</t>
        </is>
      </c>
      <c r="D1534" s="25" t="inlineStr">
        <is>
          <t>Servicios De Consultoría Y Despliegue De Soluciones De Gestión Integral De Procesos Y Recursos De Negocio.</t>
        </is>
      </c>
      <c r="E1534" s="26" t="n">
        <v>2300</v>
      </c>
      <c r="F1534" s="27">
        <f>E1534/Config!$B$1</f>
        <v/>
      </c>
      <c r="G1534" s="28" t="inlineStr">
        <is>
          <t>Estimado (mediana de categoría)</t>
        </is>
      </c>
    </row>
    <row r="1535" ht="15" customHeight="1" s="19">
      <c r="A1535" s="24" t="n">
        <v>7413</v>
      </c>
      <c r="B1535" s="25" t="inlineStr">
        <is>
          <t>Sistema POS Integrado</t>
        </is>
      </c>
      <c r="C1535" s="24" t="inlineStr">
        <is>
          <t>ERP y CRM</t>
        </is>
      </c>
      <c r="D1535" s="25" t="n"/>
      <c r="E1535" s="26" t="n">
        <v>2300</v>
      </c>
      <c r="F1535" s="27">
        <f>E1535/Config!$B$1</f>
        <v/>
      </c>
      <c r="G1535" s="28" t="inlineStr">
        <is>
          <t>Estimado (mediana de categoría)</t>
        </is>
      </c>
    </row>
    <row r="1536" ht="15" customHeight="1" s="19">
      <c r="A1536" s="24" t="n">
        <v>7565</v>
      </c>
      <c r="B1536" s="25" t="inlineStr">
        <is>
          <t>Sistema de gestión de inventarios</t>
        </is>
      </c>
      <c r="C1536" s="24" t="inlineStr">
        <is>
          <t>ERP y CRM</t>
        </is>
      </c>
      <c r="D1536" s="25" t="inlineStr">
        <is>
          <t>Gestión De Inventarios</t>
        </is>
      </c>
      <c r="E1536" s="26" t="n">
        <v>2200</v>
      </c>
      <c r="F1536" s="27">
        <f>E1536/Config!$B$1</f>
        <v/>
      </c>
      <c r="G1536" s="24" t="inlineStr">
        <is>
          <t>Real</t>
        </is>
      </c>
    </row>
    <row r="1537" ht="15" customHeight="1" s="19">
      <c r="A1537" s="24" t="n">
        <v>7572</v>
      </c>
      <c r="B1537" s="25" t="inlineStr">
        <is>
          <t>Software ERP</t>
        </is>
      </c>
      <c r="C1537" s="24" t="inlineStr">
        <is>
          <t>ERP y CRM</t>
        </is>
      </c>
      <c r="D1537" s="25" t="inlineStr">
        <is>
          <t>Software De Gestión Empresarial</t>
        </is>
      </c>
      <c r="E1537" s="26" t="n">
        <v>450</v>
      </c>
      <c r="F1537" s="27">
        <f>E1537/Config!$B$1</f>
        <v/>
      </c>
      <c r="G1537" s="24" t="inlineStr">
        <is>
          <t>Real</t>
        </is>
      </c>
    </row>
    <row r="1538" ht="15" customHeight="1" s="19">
      <c r="A1538" s="24" t="n">
        <v>6228</v>
      </c>
      <c r="B1538" s="25" t="inlineStr">
        <is>
          <t>Software de Gestión de Proyectos de Construcción</t>
        </is>
      </c>
      <c r="C1538" s="24" t="inlineStr">
        <is>
          <t>ERP y CRM</t>
        </is>
      </c>
      <c r="D1538" s="25" t="inlineStr">
        <is>
          <t>Gestión De Proyectos De Construcción</t>
        </is>
      </c>
      <c r="E1538" s="26" t="n">
        <v>2000</v>
      </c>
      <c r="F1538" s="27">
        <f>E1538/Config!$B$1</f>
        <v/>
      </c>
      <c r="G1538" s="24" t="inlineStr">
        <is>
          <t>Real</t>
        </is>
      </c>
    </row>
    <row r="1539" ht="15" customHeight="1" s="19">
      <c r="A1539" s="24" t="n">
        <v>7952</v>
      </c>
      <c r="B1539" s="25" t="inlineStr">
        <is>
          <t>Software de Gestión de Proyectos de Construcción</t>
        </is>
      </c>
      <c r="C1539" s="24" t="inlineStr">
        <is>
          <t>ERP y CRM</t>
        </is>
      </c>
      <c r="D1539" s="25" t="inlineStr">
        <is>
          <t>Gestión De Proyectos De Construcción</t>
        </is>
      </c>
      <c r="E1539" s="26" t="n">
        <v>2300</v>
      </c>
      <c r="F1539" s="27">
        <f>E1539/Config!$B$1</f>
        <v/>
      </c>
      <c r="G1539" s="28" t="inlineStr">
        <is>
          <t>Estimado (mediana de categoría)</t>
        </is>
      </c>
    </row>
    <row r="1540" ht="15" customHeight="1" s="19">
      <c r="A1540" s="24" t="n">
        <v>6870</v>
      </c>
      <c r="B1540" s="25" t="inlineStr">
        <is>
          <t>Soluciones CRM</t>
        </is>
      </c>
      <c r="C1540" s="24" t="inlineStr">
        <is>
          <t>ERP y CRM</t>
        </is>
      </c>
      <c r="D1540" s="25" t="n"/>
      <c r="E1540" s="26" t="n">
        <v>1</v>
      </c>
      <c r="F1540" s="27">
        <f>E1540/Config!$B$1</f>
        <v/>
      </c>
      <c r="G1540" s="24" t="inlineStr">
        <is>
          <t>Real</t>
        </is>
      </c>
    </row>
    <row r="1541" ht="15" customHeight="1" s="19">
      <c r="A1541" s="24" t="n">
        <v>6958</v>
      </c>
      <c r="B1541" s="25" t="inlineStr">
        <is>
          <t>Soluciones de TI</t>
        </is>
      </c>
      <c r="C1541" s="24" t="inlineStr">
        <is>
          <t>ERP y CRM</t>
        </is>
      </c>
      <c r="D1541" s="25" t="inlineStr">
        <is>
          <t>Infraestructura Ti</t>
        </is>
      </c>
      <c r="E1541" s="26" t="n">
        <v>1100</v>
      </c>
      <c r="F1541" s="27">
        <f>E1541/Config!$B$1</f>
        <v/>
      </c>
      <c r="G1541" s="24" t="inlineStr">
        <is>
          <t>Real</t>
        </is>
      </c>
    </row>
    <row r="1542" ht="15" customHeight="1" s="19">
      <c r="A1542" s="24" t="n">
        <v>7005</v>
      </c>
      <c r="B1542" s="25" t="inlineStr">
        <is>
          <t>Soporte Avanzado ERP</t>
        </is>
      </c>
      <c r="C1542" s="24" t="inlineStr">
        <is>
          <t>ERP y CRM</t>
        </is>
      </c>
      <c r="D1542" s="25" t="inlineStr">
        <is>
          <t>Soporte Avanzado Erp</t>
        </is>
      </c>
      <c r="E1542" s="26" t="n">
        <v>4900</v>
      </c>
      <c r="F1542" s="27">
        <f>E1542/Config!$B$1</f>
        <v/>
      </c>
      <c r="G1542" s="24" t="inlineStr">
        <is>
          <t>Real</t>
        </is>
      </c>
    </row>
    <row r="1543" ht="15" customHeight="1" s="19">
      <c r="A1543" s="24" t="n">
        <v>6983</v>
      </c>
      <c r="B1543" s="25" t="inlineStr">
        <is>
          <t>Soporte Técnico CRM</t>
        </is>
      </c>
      <c r="C1543" s="24" t="inlineStr">
        <is>
          <t>ERP y CRM</t>
        </is>
      </c>
      <c r="D1543" s="25" t="inlineStr">
        <is>
          <t>Soporte Técnico Crm</t>
        </is>
      </c>
      <c r="E1543" s="26" t="n">
        <v>350</v>
      </c>
      <c r="F1543" s="27">
        <f>E1543/Config!$B$1</f>
        <v/>
      </c>
      <c r="G1543" s="24" t="inlineStr">
        <is>
          <t>Real</t>
        </is>
      </c>
    </row>
    <row r="1544" ht="15" customHeight="1" s="19">
      <c r="A1544" s="24" t="n">
        <v>6991</v>
      </c>
      <c r="B1544" s="25" t="inlineStr">
        <is>
          <t>Soporte Técnico Continuo para ERP y CRM</t>
        </is>
      </c>
      <c r="C1544" s="24" t="inlineStr">
        <is>
          <t>ERP y CRM</t>
        </is>
      </c>
      <c r="D1544" s="25" t="inlineStr">
        <is>
          <t>Soporte Técnico Continuo.</t>
        </is>
      </c>
      <c r="E1544" s="26" t="n">
        <v>4800</v>
      </c>
      <c r="F1544" s="27">
        <f>E1544/Config!$B$1</f>
        <v/>
      </c>
      <c r="G1544" s="24" t="inlineStr">
        <is>
          <t>Real</t>
        </is>
      </c>
    </row>
    <row r="1545" ht="15" customHeight="1" s="19">
      <c r="A1545" s="24" t="n">
        <v>6982</v>
      </c>
      <c r="B1545" s="25" t="inlineStr">
        <is>
          <t>Soporte Técnico ERP</t>
        </is>
      </c>
      <c r="C1545" s="24" t="inlineStr">
        <is>
          <t>ERP y CRM</t>
        </is>
      </c>
      <c r="D1545" s="25" t="inlineStr">
        <is>
          <t>Soporte Técnico Erp</t>
        </is>
      </c>
      <c r="E1545" s="26" t="n">
        <v>550</v>
      </c>
      <c r="F1545" s="27">
        <f>E1545/Config!$B$1</f>
        <v/>
      </c>
      <c r="G1545" s="24" t="inlineStr">
        <is>
          <t>Real</t>
        </is>
      </c>
    </row>
    <row r="1546" ht="15" customHeight="1" s="19">
      <c r="A1546" s="24" t="n">
        <v>6986</v>
      </c>
      <c r="B1546" s="25" t="inlineStr">
        <is>
          <t>Soporte Técnico para ERP de Producción</t>
        </is>
      </c>
      <c r="C1546" s="24" t="inlineStr">
        <is>
          <t>ERP y CRM</t>
        </is>
      </c>
      <c r="D1546" s="25" t="inlineStr">
        <is>
          <t>Soporte Erp Producción</t>
        </is>
      </c>
      <c r="E1546" s="26" t="n">
        <v>3300</v>
      </c>
      <c r="F1546" s="27">
        <f>E1546/Config!$B$1</f>
        <v/>
      </c>
      <c r="G1546" s="24" t="inlineStr">
        <is>
          <t>Real</t>
        </is>
      </c>
    </row>
    <row r="1547" ht="15" customHeight="1" s="19">
      <c r="A1547" s="24" t="n">
        <v>6998</v>
      </c>
      <c r="B1547" s="25" t="inlineStr">
        <is>
          <t>Soporte a Usuarios Clave CRM</t>
        </is>
      </c>
      <c r="C1547" s="24" t="inlineStr">
        <is>
          <t>ERP y CRM</t>
        </is>
      </c>
      <c r="D1547" s="25" t="inlineStr">
        <is>
          <t>Soporte Crm</t>
        </is>
      </c>
      <c r="E1547" s="26" t="n">
        <v>2900</v>
      </c>
      <c r="F1547" s="27">
        <f>E1547/Config!$B$1</f>
        <v/>
      </c>
      <c r="G1547" s="24" t="inlineStr">
        <is>
          <t>Real</t>
        </is>
      </c>
    </row>
    <row r="1548" ht="15" customHeight="1" s="19">
      <c r="A1548" s="24" t="n">
        <v>6999</v>
      </c>
      <c r="B1548" s="25" t="inlineStr">
        <is>
          <t>Soporte a Usuarios Clave ERP</t>
        </is>
      </c>
      <c r="C1548" s="24" t="inlineStr">
        <is>
          <t>ERP y CRM</t>
        </is>
      </c>
      <c r="D1548" s="25" t="inlineStr">
        <is>
          <t>Soporte Erp</t>
        </is>
      </c>
      <c r="E1548" s="26" t="n">
        <v>3400</v>
      </c>
      <c r="F1548" s="27">
        <f>E1548/Config!$B$1</f>
        <v/>
      </c>
      <c r="G1548" s="24" t="inlineStr">
        <is>
          <t>Real</t>
        </is>
      </c>
    </row>
    <row r="1549" ht="15" customHeight="1" s="19">
      <c r="A1549" s="24" t="n">
        <v>6985</v>
      </c>
      <c r="B1549" s="25" t="inlineStr">
        <is>
          <t>Soporte para Integración de Sistemas</t>
        </is>
      </c>
      <c r="C1549" s="24" t="inlineStr">
        <is>
          <t>ERP y CRM</t>
        </is>
      </c>
      <c r="D1549" s="25" t="inlineStr">
        <is>
          <t>Integración De Sistemas</t>
        </is>
      </c>
      <c r="E1549" s="26" t="n">
        <v>3300</v>
      </c>
      <c r="F1549" s="27">
        <f>E1549/Config!$B$1</f>
        <v/>
      </c>
      <c r="G1549" s="24" t="inlineStr">
        <is>
          <t>Real</t>
        </is>
      </c>
    </row>
    <row r="1550" ht="23.25" customHeight="1" s="19">
      <c r="A1550" s="24" t="n">
        <v>8415</v>
      </c>
      <c r="B1550" s="25" t="inlineStr">
        <is>
          <t>Soporte y Mantenimiento de ERP: Optimiza tu Sistema para un Máximo Rendimiento</t>
        </is>
      </c>
      <c r="C1550" s="24" t="inlineStr">
        <is>
          <t>ERP y CRM</t>
        </is>
      </c>
      <c r="D1550" s="25" t="inlineStr">
        <is>
          <t>Servicios de Soporte y Mantenimiento de Sistemas Erp</t>
        </is>
      </c>
      <c r="E1550" s="26" t="n">
        <v>2300</v>
      </c>
      <c r="F1550" s="27">
        <f>E1550/Config!$B$1</f>
        <v/>
      </c>
      <c r="G1550" s="28" t="inlineStr">
        <is>
          <t>Estimado (mediana de categoría)</t>
        </is>
      </c>
    </row>
    <row r="1551" ht="15" customHeight="1" s="19">
      <c r="A1551" s="24" t="n">
        <v>7567</v>
      </c>
      <c r="B1551" s="25" t="inlineStr">
        <is>
          <t>Supervisión de procesos de producción</t>
        </is>
      </c>
      <c r="C1551" s="24" t="inlineStr">
        <is>
          <t>ERP y CRM</t>
        </is>
      </c>
      <c r="D1551" s="25" t="inlineStr">
        <is>
          <t>Supervisión De Producción</t>
        </is>
      </c>
      <c r="E1551" s="26" t="n">
        <v>4500</v>
      </c>
      <c r="F1551" s="27">
        <f>E1551/Config!$B$1</f>
        <v/>
      </c>
      <c r="G1551" s="24" t="inlineStr">
        <is>
          <t>Real</t>
        </is>
      </c>
    </row>
    <row r="1552" ht="15" customHeight="1" s="19">
      <c r="A1552" s="24" t="n">
        <v>7015</v>
      </c>
      <c r="B1552" s="25" t="inlineStr">
        <is>
          <t>Support for CRM</t>
        </is>
      </c>
      <c r="C1552" s="24" t="inlineStr">
        <is>
          <t>ERP y CRM</t>
        </is>
      </c>
      <c r="D1552" s="25" t="inlineStr">
        <is>
          <t>Soporte Crm</t>
        </is>
      </c>
      <c r="E1552" s="26" t="n">
        <v>1100</v>
      </c>
      <c r="F1552" s="27">
        <f>E1552/Config!$B$1</f>
        <v/>
      </c>
      <c r="G1552" s="24" t="inlineStr">
        <is>
          <t>Real</t>
        </is>
      </c>
    </row>
    <row r="1553" ht="15" customHeight="1" s="19">
      <c r="A1553" s="24" t="n">
        <v>7016</v>
      </c>
      <c r="B1553" s="25" t="inlineStr">
        <is>
          <t>Support for ERP</t>
        </is>
      </c>
      <c r="C1553" s="24" t="inlineStr">
        <is>
          <t>ERP y CRM</t>
        </is>
      </c>
      <c r="D1553" s="25" t="inlineStr">
        <is>
          <t>Soporte Erp</t>
        </is>
      </c>
      <c r="E1553" s="26" t="n">
        <v>1400</v>
      </c>
      <c r="F1553" s="27">
        <f>E1553/Config!$B$1</f>
        <v/>
      </c>
      <c r="G1553" s="24" t="inlineStr">
        <is>
          <t>Real</t>
        </is>
      </c>
    </row>
    <row r="1554" ht="15" customHeight="1" s="19">
      <c r="A1554" s="24" t="n">
        <v>6777</v>
      </c>
      <c r="B1554" s="25" t="inlineStr">
        <is>
          <t>Transformación Digital Asistida</t>
        </is>
      </c>
      <c r="C1554" s="24" t="inlineStr">
        <is>
          <t>ERP y CRM</t>
        </is>
      </c>
      <c r="D1554" s="25" t="inlineStr">
        <is>
          <t>Transformación Digital</t>
        </is>
      </c>
      <c r="E1554" s="26" t="n">
        <v>4800</v>
      </c>
      <c r="F1554" s="27">
        <f>E1554/Config!$B$1</f>
        <v/>
      </c>
      <c r="G1554" s="24" t="inlineStr">
        <is>
          <t>Real</t>
        </is>
      </c>
    </row>
    <row r="1555" ht="79.5" customHeight="1" s="19">
      <c r="A1555" s="24" t="n">
        <v>7498</v>
      </c>
      <c r="B1555" s="25" t="inlineStr">
        <is>
          <t>¡Gestiona tu negocio como un experto con nuestro software integral!</t>
        </is>
      </c>
      <c r="C1555" s="24" t="inlineStr">
        <is>
          <t>ERP y CRM</t>
        </is>
      </c>
      <c r="D1555" s="25" t="inlineStr">
        <is>
          <t>&lt;strong&gt;Gestión Financiera, de Ventas e Inventarios&lt;/strong&gt;&lt;br&gt;&lt;br&gt;Solución integral para optimizar tus finanzas, ventas e inventarios.&lt;br&gt;&lt;br&gt;&lt;strong&gt;Beneficios:&lt;/strong&gt;&lt;br&gt;&lt;br&gt;&lt;em&gt; Mayor eficiencia&lt;br&gt;&lt;/em&gt; Mejor toma de decisiones&lt;br&gt;&lt;em&gt; Reducción de costos&lt;br&gt;&lt;/em&gt; Mayor satisfacción del cliente</t>
        </is>
      </c>
      <c r="E1555" s="26" t="n">
        <v>2300</v>
      </c>
      <c r="F1555" s="27">
        <f>E1555/Config!$B$1</f>
        <v/>
      </c>
      <c r="G1555" s="28" t="inlineStr">
        <is>
          <t>Estimado (mediana de categoría)</t>
        </is>
      </c>
    </row>
    <row r="1556" ht="34.5" customHeight="1" s="19">
      <c r="A1556" s="24" t="n">
        <v>7483</v>
      </c>
      <c r="B1556" s="25" t="inlineStr">
        <is>
          <t>Capacitación Avanzada en E-Commerce: Domina las Estrategias y Herramientas para Impulsar tu Negocio Online</t>
        </is>
      </c>
      <c r="C1556" s="24" t="inlineStr">
        <is>
          <t>Formación y Capacitación</t>
        </is>
      </c>
      <c r="D1556" s="25" t="inlineStr">
        <is>
          <t>Capacitación Avanzada en E-Commerce: Impulsa tu Negocio Online</t>
        </is>
      </c>
      <c r="E1556" s="26" t="n">
        <v>1700</v>
      </c>
      <c r="F1556" s="27">
        <f>E1556/Config!$B$1</f>
        <v/>
      </c>
      <c r="G1556" s="28" t="inlineStr">
        <is>
          <t>Estimado (mediana de categoría)</t>
        </is>
      </c>
    </row>
    <row r="1557" ht="68.25" customHeight="1" s="19">
      <c r="A1557" s="24" t="n">
        <v>7511</v>
      </c>
      <c r="B1557" s="25" t="inlineStr">
        <is>
          <t>Capacitación Avanzada: Dominá las últimas tendencias y llevá tu carrera al siguiente nivel</t>
        </is>
      </c>
      <c r="C1557" s="24" t="inlineStr">
        <is>
          <t>Formación y Capacitación</t>
        </is>
      </c>
      <c r="D1557" s="25" t="inlineStr">
        <is>
          <t>Capacitación Avanzada: La clave para el éxito profesional. Cursos especializados, instructores expertos, aprendizaje práctico, certificaciones reconocidas y flexibilidad para mejorar habilidades, ampliar conocimientos, aumentar la empleabilidad, avanzar profesionalmente y crecer personalmente.</t>
        </is>
      </c>
      <c r="E1557" s="26" t="n">
        <v>1700</v>
      </c>
      <c r="F1557" s="27">
        <f>E1557/Config!$B$1</f>
        <v/>
      </c>
      <c r="G1557" s="28" t="inlineStr">
        <is>
          <t>Estimado (mediana de categoría)</t>
        </is>
      </c>
    </row>
    <row r="1558" ht="23.25" customHeight="1" s="19">
      <c r="A1558" s="24" t="n">
        <v>7478</v>
      </c>
      <c r="B1558" s="25" t="inlineStr">
        <is>
          <t>Capacitación Inicial en CMS: Domina la Gestión de Contenidos para tu Sitio Web</t>
        </is>
      </c>
      <c r="C1558" s="24" t="inlineStr">
        <is>
          <t>Formación y Capacitación</t>
        </is>
      </c>
      <c r="D1558" s="25" t="inlineStr">
        <is>
          <t>Capacitación Inicial en CMS: La puerta de entrada a la gestión de contenidos</t>
        </is>
      </c>
      <c r="E1558" s="26" t="n">
        <v>1700</v>
      </c>
      <c r="F1558" s="27">
        <f>E1558/Config!$B$1</f>
        <v/>
      </c>
      <c r="G1558" s="28" t="inlineStr">
        <is>
          <t>Estimado (mediana de categoría)</t>
        </is>
      </c>
    </row>
    <row r="1559" ht="57" customHeight="1" s="19">
      <c r="A1559" s="24" t="n">
        <v>7508</v>
      </c>
      <c r="B1559" s="25" t="inlineStr">
        <is>
          <t>Capacitación Inicial: ¡Adquirí las habilidades esenciales para el éxito!</t>
        </is>
      </c>
      <c r="C1559" s="24" t="inlineStr">
        <is>
          <t>Formación y Capacitación</t>
        </is>
      </c>
      <c r="D1559" s="25" t="inlineStr">
        <is>
          <t>Capacitación Inicial: tu puerta de entrada al mundo del éxito profesional. Cursos prácticos, instructores expertos, aprendizaje flexible y certificación reconocida para mejorar tus habilidades, avanzar en tu carrera y ampliar tus horizontes.</t>
        </is>
      </c>
      <c r="E1559" s="26" t="n">
        <v>1700</v>
      </c>
      <c r="F1559" s="27">
        <f>E1559/Config!$B$1</f>
        <v/>
      </c>
      <c r="G1559" s="28" t="inlineStr">
        <is>
          <t>Estimado (mediana de categoría)</t>
        </is>
      </c>
    </row>
    <row r="1560" ht="57" customHeight="1" s="19">
      <c r="A1560" s="24" t="n">
        <v>7539</v>
      </c>
      <c r="B1560" s="25" t="inlineStr">
        <is>
          <t>Capacitación Inicial: ¡Adquirí las habilidades esenciales para triunfar!</t>
        </is>
      </c>
      <c r="C1560" s="24" t="inlineStr">
        <is>
          <t>Formación y Capacitación</t>
        </is>
      </c>
      <c r="D1560" s="25" t="inlineStr">
        <is>
          <t>Capacitación Inicial: ¡Tu puerta de entrada al mundo del éxito profesional! Cursos prácticos, instructores expertos, aprendizaje flexible y certificación reconocida para mejorar tus habilidades, avanzar en tu carrera y ampliar tus horizontes.</t>
        </is>
      </c>
      <c r="E1560" s="26" t="n">
        <v>1000</v>
      </c>
      <c r="F1560" s="27">
        <f>E1560/Config!$B$1</f>
        <v/>
      </c>
      <c r="G1560" s="24" t="inlineStr">
        <is>
          <t>Real</t>
        </is>
      </c>
    </row>
    <row r="1561" ht="23.25" customHeight="1" s="19">
      <c r="A1561" s="24" t="n">
        <v>7493</v>
      </c>
      <c r="B1561" s="25" t="inlineStr">
        <is>
          <t>Capacitación Integral en E-Commerce: Domina el Comercio Electrónico y Potencia tu Negocio</t>
        </is>
      </c>
      <c r="C1561" s="24" t="inlineStr">
        <is>
          <t>Formación y Capacitación</t>
        </is>
      </c>
      <c r="D1561" s="25" t="inlineStr">
        <is>
          <t>Capacitación Integral en E-Commerce: Tu puerta de entrada al éxito en el comercio electrónico.</t>
        </is>
      </c>
      <c r="E1561" s="26" t="n">
        <v>1700</v>
      </c>
      <c r="F1561" s="27">
        <f>E1561/Config!$B$1</f>
        <v/>
      </c>
      <c r="G1561" s="28" t="inlineStr">
        <is>
          <t>Estimado (mediana de categoría)</t>
        </is>
      </c>
    </row>
    <row r="1562" ht="34.5" customHeight="1" s="19">
      <c r="A1562" s="24" t="n">
        <v>7488</v>
      </c>
      <c r="B1562" s="25" t="inlineStr">
        <is>
          <t>Capacitación Integral en Gestión Web: Domina el Arte de Crear y Administrar Sitios Web Exitosos</t>
        </is>
      </c>
      <c r="C1562" s="24" t="inlineStr">
        <is>
          <t>Formación y Capacitación</t>
        </is>
      </c>
      <c r="D1562" s="25" t="inlineStr">
        <is>
          <t>Capacitación integral en gestión web para crear y administrar sitios web profesionales, impulsar el crecimiento digital y desarrollar habilidades valiosas.</t>
        </is>
      </c>
      <c r="E1562" s="26" t="n">
        <v>1700</v>
      </c>
      <c r="F1562" s="27">
        <f>E1562/Config!$B$1</f>
        <v/>
      </c>
      <c r="G1562" s="28" t="inlineStr">
        <is>
          <t>Estimado (mediana de categoría)</t>
        </is>
      </c>
    </row>
    <row r="1563" ht="23.25" customHeight="1" s="19">
      <c r="A1563" s="24" t="n">
        <v>7469</v>
      </c>
      <c r="B1563" s="25" t="inlineStr">
        <is>
          <t>Capacitación básica en CMS: Domina los fundamentos para gestionar tu sitio web</t>
        </is>
      </c>
      <c r="C1563" s="24" t="inlineStr">
        <is>
          <t>Formación y Capacitación</t>
        </is>
      </c>
      <c r="D1563" s="25" t="inlineStr">
        <is>
          <t>Capacitación básica en CMS: domina el arte de gestionar tu sitio web</t>
        </is>
      </c>
      <c r="E1563" s="26" t="n">
        <v>1700</v>
      </c>
      <c r="F1563" s="27">
        <f>E1563/Config!$B$1</f>
        <v/>
      </c>
      <c r="G1563" s="28" t="inlineStr">
        <is>
          <t>Estimado (mediana de categoría)</t>
        </is>
      </c>
    </row>
    <row r="1564" ht="68.25" customHeight="1" s="19">
      <c r="A1564" s="24" t="n">
        <v>7500</v>
      </c>
      <c r="B1564" s="25" t="inlineStr">
        <is>
          <t>Capacitación básica: el primer paso para tu éxito profesional</t>
        </is>
      </c>
      <c r="C1564" s="24" t="inlineStr">
        <is>
          <t>Formación y Capacitación</t>
        </is>
      </c>
      <c r="D1564" s="25" t="inlineStr">
        <is>
          <t>Capacitación Básica: La clave para el éxito profesional. Cursos en línea y presenciales, instructores expertos, material interactivo y certificación reconocida. Mejora tus habilidades, avanza en tu carrera, gana confianza y aumenta tu productividad.</t>
        </is>
      </c>
      <c r="E1564" s="26" t="n">
        <v>1700</v>
      </c>
      <c r="F1564" s="27">
        <f>E1564/Config!$B$1</f>
        <v/>
      </c>
      <c r="G1564" s="28" t="inlineStr">
        <is>
          <t>Estimado (mediana de categoría)</t>
        </is>
      </c>
    </row>
    <row r="1565" ht="23.25" customHeight="1" s="19">
      <c r="A1565" s="24" t="n">
        <v>6322</v>
      </c>
      <c r="B1565" s="25" t="inlineStr">
        <is>
          <t>Capacitación empresarial</t>
        </is>
      </c>
      <c r="C1565" s="24" t="inlineStr">
        <is>
          <t>Formación y Capacitación</t>
        </is>
      </c>
      <c r="D1565" s="25" t="inlineStr">
        <is>
          <t>Servicios De Capacitación Y Entrenamiento Corporativo.</t>
        </is>
      </c>
      <c r="E1565" s="26" t="n">
        <v>450</v>
      </c>
      <c r="F1565" s="27">
        <f>E1565/Config!$B$1</f>
        <v/>
      </c>
      <c r="G1565" s="24" t="inlineStr">
        <is>
          <t>Real</t>
        </is>
      </c>
    </row>
    <row r="1566" ht="23.25" customHeight="1" s="19">
      <c r="A1566" s="24" t="n">
        <v>8033</v>
      </c>
      <c r="B1566" s="25" t="inlineStr">
        <is>
          <t>Capacitación empresarial</t>
        </is>
      </c>
      <c r="C1566" s="24" t="inlineStr">
        <is>
          <t>Formación y Capacitación</t>
        </is>
      </c>
      <c r="D1566" s="25" t="inlineStr">
        <is>
          <t>Servicios De Capacitación Y Entrenamiento Corporativo.</t>
        </is>
      </c>
      <c r="E1566" s="26" t="n">
        <v>1700</v>
      </c>
      <c r="F1566" s="27">
        <f>E1566/Config!$B$1</f>
        <v/>
      </c>
      <c r="G1566" s="28" t="inlineStr">
        <is>
          <t>Estimado (mediana de categoría)</t>
        </is>
      </c>
    </row>
    <row r="1567" ht="15" customHeight="1" s="19">
      <c r="A1567" s="24" t="n">
        <v>6793</v>
      </c>
      <c r="B1567" s="25" t="inlineStr">
        <is>
          <t>Capacitación en Análisis de Datos</t>
        </is>
      </c>
      <c r="C1567" s="24" t="inlineStr">
        <is>
          <t>Formación y Capacitación</t>
        </is>
      </c>
      <c r="D1567" s="25" t="inlineStr">
        <is>
          <t>Capacitación En Análisis De Datos</t>
        </is>
      </c>
      <c r="E1567" s="26" t="n">
        <v>2800</v>
      </c>
      <c r="F1567" s="27">
        <f>E1567/Config!$B$1</f>
        <v/>
      </c>
      <c r="G1567" s="24" t="inlineStr">
        <is>
          <t>Real</t>
        </is>
      </c>
    </row>
    <row r="1568" ht="15" customHeight="1" s="19">
      <c r="A1568" s="24" t="n">
        <v>6098</v>
      </c>
      <c r="B1568" s="25" t="inlineStr">
        <is>
          <t>Capacitación en Ciberseguridad</t>
        </is>
      </c>
      <c r="C1568" s="24" t="inlineStr">
        <is>
          <t>Formación y Capacitación</t>
        </is>
      </c>
      <c r="D1568" s="25" t="inlineStr">
        <is>
          <t>Capacitación En Ciberseguridad</t>
        </is>
      </c>
      <c r="E1568" s="26" t="n">
        <v>2000</v>
      </c>
      <c r="F1568" s="27">
        <f>E1568/Config!$B$1</f>
        <v/>
      </c>
      <c r="G1568" s="24" t="inlineStr">
        <is>
          <t>Real</t>
        </is>
      </c>
    </row>
    <row r="1569" ht="15" customHeight="1" s="19">
      <c r="A1569" s="24" t="n">
        <v>7822</v>
      </c>
      <c r="B1569" s="25" t="inlineStr">
        <is>
          <t>Capacitación en Ciberseguridad</t>
        </is>
      </c>
      <c r="C1569" s="24" t="inlineStr">
        <is>
          <t>Formación y Capacitación</t>
        </is>
      </c>
      <c r="D1569" s="25" t="inlineStr">
        <is>
          <t>Capacitación En Ciberseguridad</t>
        </is>
      </c>
      <c r="E1569" s="26" t="n">
        <v>1700</v>
      </c>
      <c r="F1569" s="27">
        <f>E1569/Config!$B$1</f>
        <v/>
      </c>
      <c r="G1569" s="28" t="inlineStr">
        <is>
          <t>Estimado (mediana de categoría)</t>
        </is>
      </c>
    </row>
    <row r="1570" ht="15" customHeight="1" s="19">
      <c r="A1570" s="24" t="n">
        <v>6791</v>
      </c>
      <c r="B1570" s="25" t="inlineStr">
        <is>
          <t>Capacitación en Desarrollo Web</t>
        </is>
      </c>
      <c r="C1570" s="24" t="inlineStr">
        <is>
          <t>Formación y Capacitación</t>
        </is>
      </c>
      <c r="D1570" s="25" t="inlineStr">
        <is>
          <t>Capacitación En Desarrollo Web</t>
        </is>
      </c>
      <c r="E1570" s="26" t="n">
        <v>1800</v>
      </c>
      <c r="F1570" s="27">
        <f>E1570/Config!$B$1</f>
        <v/>
      </c>
      <c r="G1570" s="24" t="inlineStr">
        <is>
          <t>Real</t>
        </is>
      </c>
    </row>
    <row r="1571" ht="23.25" customHeight="1" s="19">
      <c r="A1571" s="24" t="n">
        <v>8414</v>
      </c>
      <c r="B1571" s="25" t="inlineStr">
        <is>
          <t>Capacitación en ERP: Optimiza tus procesos empresariales con nuestros programas personalizados</t>
        </is>
      </c>
      <c r="C1571" s="24" t="inlineStr">
        <is>
          <t>Formación y Capacitación</t>
        </is>
      </c>
      <c r="D1571" s="25" t="inlineStr">
        <is>
          <t>Servicios de Capacitación en el Uso de Sistemas ERP</t>
        </is>
      </c>
      <c r="E1571" s="26" t="n">
        <v>1700</v>
      </c>
      <c r="F1571" s="27">
        <f>E1571/Config!$B$1</f>
        <v/>
      </c>
      <c r="G1571" s="28" t="inlineStr">
        <is>
          <t>Estimado (mediana de categoría)</t>
        </is>
      </c>
    </row>
    <row r="1572" ht="15" customHeight="1" s="19">
      <c r="A1572" s="24" t="n">
        <v>6215</v>
      </c>
      <c r="B1572" s="25" t="inlineStr">
        <is>
          <t>Capacitación en Herramientas Digitales</t>
        </is>
      </c>
      <c r="C1572" s="24" t="inlineStr">
        <is>
          <t>Formación y Capacitación</t>
        </is>
      </c>
      <c r="D1572" s="25" t="inlineStr">
        <is>
          <t>Formación En Herramientas Digitales</t>
        </is>
      </c>
      <c r="E1572" s="26" t="n">
        <v>700</v>
      </c>
      <c r="F1572" s="27">
        <f>E1572/Config!$B$1</f>
        <v/>
      </c>
      <c r="G1572" s="24" t="inlineStr">
        <is>
          <t>Real</t>
        </is>
      </c>
    </row>
    <row r="1573" ht="15" customHeight="1" s="19">
      <c r="A1573" s="24" t="n">
        <v>7939</v>
      </c>
      <c r="B1573" s="25" t="inlineStr">
        <is>
          <t>Capacitación en Herramientas Digitales</t>
        </is>
      </c>
      <c r="C1573" s="24" t="inlineStr">
        <is>
          <t>Formación y Capacitación</t>
        </is>
      </c>
      <c r="D1573" s="25" t="inlineStr">
        <is>
          <t>Formación En Herramientas Digitales</t>
        </is>
      </c>
      <c r="E1573" s="26" t="n">
        <v>1700</v>
      </c>
      <c r="F1573" s="27">
        <f>E1573/Config!$B$1</f>
        <v/>
      </c>
      <c r="G1573" s="28" t="inlineStr">
        <is>
          <t>Estimado (mediana de categoría)</t>
        </is>
      </c>
    </row>
    <row r="1574" ht="15" customHeight="1" s="19">
      <c r="A1574" s="24" t="n">
        <v>6796</v>
      </c>
      <c r="B1574" s="25" t="inlineStr">
        <is>
          <t>Capacitación en Herramientas de Análisis de Datos</t>
        </is>
      </c>
      <c r="C1574" s="24" t="inlineStr">
        <is>
          <t>Formación y Capacitación</t>
        </is>
      </c>
      <c r="D1574" s="25" t="inlineStr">
        <is>
          <t>Capacitación En Análisis De Datos</t>
        </is>
      </c>
      <c r="E1574" s="26" t="n">
        <v>2800</v>
      </c>
      <c r="F1574" s="27">
        <f>E1574/Config!$B$1</f>
        <v/>
      </c>
      <c r="G1574" s="24" t="inlineStr">
        <is>
          <t>Real</t>
        </is>
      </c>
    </row>
    <row r="1575" ht="15" customHeight="1" s="19">
      <c r="A1575" s="24" t="n">
        <v>6782</v>
      </c>
      <c r="B1575" s="25" t="inlineStr">
        <is>
          <t>Capacitación en Herramientas de Gestión</t>
        </is>
      </c>
      <c r="C1575" s="24" t="inlineStr">
        <is>
          <t>Formación y Capacitación</t>
        </is>
      </c>
      <c r="D1575" s="25" t="inlineStr">
        <is>
          <t>Capacitación En Herramientas De Gestión.</t>
        </is>
      </c>
      <c r="E1575" s="26" t="n">
        <v>700</v>
      </c>
      <c r="F1575" s="27">
        <f>E1575/Config!$B$1</f>
        <v/>
      </c>
      <c r="G1575" s="24" t="inlineStr">
        <is>
          <t>Real</t>
        </is>
      </c>
    </row>
    <row r="1576" ht="15" customHeight="1" s="19">
      <c r="A1576" s="24" t="n">
        <v>6790</v>
      </c>
      <c r="B1576" s="25" t="inlineStr">
        <is>
          <t>Capacitación en Marketing Digital</t>
        </is>
      </c>
      <c r="C1576" s="24" t="inlineStr">
        <is>
          <t>Formación y Capacitación</t>
        </is>
      </c>
      <c r="D1576" s="25" t="inlineStr">
        <is>
          <t>Capacitación En Marketing Digital</t>
        </is>
      </c>
      <c r="E1576" s="26" t="n">
        <v>2300</v>
      </c>
      <c r="F1576" s="27">
        <f>E1576/Config!$B$1</f>
        <v/>
      </c>
      <c r="G1576" s="24" t="inlineStr">
        <is>
          <t>Real</t>
        </is>
      </c>
    </row>
    <row r="1577" ht="23.25" customHeight="1" s="19">
      <c r="A1577" s="24" t="n">
        <v>7520</v>
      </c>
      <c r="B1577" s="25" t="inlineStr">
        <is>
          <t>Capacitación en Nuevas Funcionalidades: ¡Mejora tus habilidades y lleva tu negocio al siguiente nivel!</t>
        </is>
      </c>
      <c r="C1577" s="24" t="inlineStr">
        <is>
          <t>Formación y Capacitación</t>
        </is>
      </c>
      <c r="D1577" s="25" t="inlineStr">
        <is>
          <t>Capacitación en Nuevas Funcionalidades: Impulsa tu Negocio al Siguiente Nivel</t>
        </is>
      </c>
      <c r="E1577" s="26" t="n">
        <v>1700</v>
      </c>
      <c r="F1577" s="27">
        <f>E1577/Config!$B$1</f>
        <v/>
      </c>
      <c r="G1577" s="28" t="inlineStr">
        <is>
          <t>Estimado (mediana de categoría)</t>
        </is>
      </c>
    </row>
    <row r="1578" ht="23.25" customHeight="1" s="19">
      <c r="A1578" s="24" t="n">
        <v>6605</v>
      </c>
      <c r="B1578" s="25" t="inlineStr">
        <is>
          <t>Capacitación en Procesos de Negocio para ERP Odoo</t>
        </is>
      </c>
      <c r="C1578" s="24" t="inlineStr">
        <is>
          <t>Formación y Capacitación</t>
        </is>
      </c>
      <c r="D1578" s="25" t="inlineStr">
        <is>
          <t>Capacitación En Procesos De Negocio Para Erp Odoo.</t>
        </is>
      </c>
      <c r="E1578" s="26" t="n">
        <v>2500</v>
      </c>
      <c r="F1578" s="27">
        <f>E1578/Config!$B$1</f>
        <v/>
      </c>
      <c r="G1578" s="24" t="inlineStr">
        <is>
          <t>Real</t>
        </is>
      </c>
    </row>
    <row r="1579" ht="23.25" customHeight="1" s="19">
      <c r="A1579" s="24" t="n">
        <v>8307</v>
      </c>
      <c r="B1579" s="25" t="inlineStr">
        <is>
          <t>Capacitación en Procesos de Negocio para ERP Odoo</t>
        </is>
      </c>
      <c r="C1579" s="24" t="inlineStr">
        <is>
          <t>Formación y Capacitación</t>
        </is>
      </c>
      <c r="D1579" s="25" t="inlineStr">
        <is>
          <t>Capacitación En Procesos De Negocio Para Erp Odoo.</t>
        </is>
      </c>
      <c r="E1579" s="26" t="n">
        <v>1700</v>
      </c>
      <c r="F1579" s="27">
        <f>E1579/Config!$B$1</f>
        <v/>
      </c>
      <c r="G1579" s="28" t="inlineStr">
        <is>
          <t>Estimado (mediana de categoría)</t>
        </is>
      </c>
    </row>
    <row r="1580" ht="15" customHeight="1" s="19">
      <c r="A1580" s="24" t="n">
        <v>7454</v>
      </c>
      <c r="B1580" s="25" t="inlineStr">
        <is>
          <t>Capacitación en Uso de CMS</t>
        </is>
      </c>
      <c r="C1580" s="24" t="inlineStr">
        <is>
          <t>Formación y Capacitación</t>
        </is>
      </c>
      <c r="D1580" s="25" t="n"/>
      <c r="E1580" s="26" t="n">
        <v>1700</v>
      </c>
      <c r="F1580" s="27">
        <f>E1580/Config!$B$1</f>
        <v/>
      </c>
      <c r="G1580" s="28" t="inlineStr">
        <is>
          <t>Estimado (mediana de categoría)</t>
        </is>
      </c>
    </row>
    <row r="1581" ht="15" customHeight="1" s="19">
      <c r="A1581" s="24" t="n">
        <v>6792</v>
      </c>
      <c r="B1581" s="25" t="inlineStr">
        <is>
          <t>Capacitación en Uso de CRM</t>
        </is>
      </c>
      <c r="C1581" s="24" t="inlineStr">
        <is>
          <t>Formación y Capacitación</t>
        </is>
      </c>
      <c r="D1581" s="25" t="inlineStr">
        <is>
          <t>Capacitación En Crm</t>
        </is>
      </c>
      <c r="E1581" s="26" t="n">
        <v>2300</v>
      </c>
      <c r="F1581" s="27">
        <f>E1581/Config!$B$1</f>
        <v/>
      </c>
      <c r="G1581" s="24" t="inlineStr">
        <is>
          <t>Real</t>
        </is>
      </c>
    </row>
    <row r="1582" ht="15" customHeight="1" s="19">
      <c r="A1582" s="24" t="n">
        <v>7619</v>
      </c>
      <c r="B1582" s="25" t="inlineStr">
        <is>
          <t>Capacitación en analítica de datos</t>
        </is>
      </c>
      <c r="C1582" s="24" t="inlineStr">
        <is>
          <t>Formación y Capacitación</t>
        </is>
      </c>
      <c r="D1582" s="25" t="inlineStr">
        <is>
          <t>Capacitación En Analítica De Datos</t>
        </is>
      </c>
      <c r="E1582" s="26" t="n">
        <v>540</v>
      </c>
      <c r="F1582" s="27">
        <f>E1582/Config!$B$1</f>
        <v/>
      </c>
      <c r="G1582" s="24" t="inlineStr">
        <is>
          <t>Real</t>
        </is>
      </c>
    </row>
    <row r="1583" ht="15" customHeight="1" s="19">
      <c r="A1583" s="24" t="n">
        <v>7612</v>
      </c>
      <c r="B1583" s="25" t="inlineStr">
        <is>
          <t>Capacitación en gestión de proyectos</t>
        </is>
      </c>
      <c r="C1583" s="24" t="inlineStr">
        <is>
          <t>Formación y Capacitación</t>
        </is>
      </c>
      <c r="D1583" s="25" t="inlineStr">
        <is>
          <t>Capacitación En Gestión De Proyectos</t>
        </is>
      </c>
      <c r="E1583" s="26" t="n">
        <v>720</v>
      </c>
      <c r="F1583" s="27">
        <f>E1583/Config!$B$1</f>
        <v/>
      </c>
      <c r="G1583" s="24" t="inlineStr">
        <is>
          <t>Real</t>
        </is>
      </c>
    </row>
    <row r="1584" ht="23.25" customHeight="1" s="19">
      <c r="A1584" s="24" t="n">
        <v>6336</v>
      </c>
      <c r="B1584" s="25" t="inlineStr">
        <is>
          <t>Capacitación en habilidades blandas</t>
        </is>
      </c>
      <c r="C1584" s="24" t="inlineStr">
        <is>
          <t>Formación y Capacitación</t>
        </is>
      </c>
      <c r="D1584" s="25" t="inlineStr">
        <is>
          <t>Servicios De Capacitación En Competencias Blandas Para Profesionales.</t>
        </is>
      </c>
      <c r="E1584" s="26" t="n">
        <v>540</v>
      </c>
      <c r="F1584" s="27">
        <f>E1584/Config!$B$1</f>
        <v/>
      </c>
      <c r="G1584" s="24" t="inlineStr">
        <is>
          <t>Real</t>
        </is>
      </c>
    </row>
    <row r="1585" ht="23.25" customHeight="1" s="19">
      <c r="A1585" s="24" t="n">
        <v>8047</v>
      </c>
      <c r="B1585" s="25" t="inlineStr">
        <is>
          <t>Capacitación en habilidades blandas</t>
        </is>
      </c>
      <c r="C1585" s="24" t="inlineStr">
        <is>
          <t>Formación y Capacitación</t>
        </is>
      </c>
      <c r="D1585" s="25" t="inlineStr">
        <is>
          <t>Servicios De Capacitación En Competencias Blandas Para Profesionales.</t>
        </is>
      </c>
      <c r="E1585" s="26" t="n">
        <v>1700</v>
      </c>
      <c r="F1585" s="27">
        <f>E1585/Config!$B$1</f>
        <v/>
      </c>
      <c r="G1585" s="28" t="inlineStr">
        <is>
          <t>Estimado (mediana de categoría)</t>
        </is>
      </c>
    </row>
    <row r="1586" ht="23.25" customHeight="1" s="19">
      <c r="A1586" s="24" t="n">
        <v>6490</v>
      </c>
      <c r="B1586" s="25" t="inlineStr">
        <is>
          <t>Capacitación en habilidades digitales</t>
        </is>
      </c>
      <c r="C1586" s="24" t="inlineStr">
        <is>
          <t>Formación y Capacitación</t>
        </is>
      </c>
      <c r="D1586" s="25" t="inlineStr">
        <is>
          <t>Programa De Capacitación En Competencias Digitales.</t>
        </is>
      </c>
      <c r="E1586" s="26" t="n">
        <v>400</v>
      </c>
      <c r="F1586" s="27">
        <f>E1586/Config!$B$1</f>
        <v/>
      </c>
      <c r="G1586" s="24" t="inlineStr">
        <is>
          <t>Real</t>
        </is>
      </c>
    </row>
    <row r="1587" ht="23.25" customHeight="1" s="19">
      <c r="A1587" s="24" t="n">
        <v>8192</v>
      </c>
      <c r="B1587" s="25" t="inlineStr">
        <is>
          <t>Capacitación en habilidades digitales</t>
        </is>
      </c>
      <c r="C1587" s="24" t="inlineStr">
        <is>
          <t>Formación y Capacitación</t>
        </is>
      </c>
      <c r="D1587" s="25" t="inlineStr">
        <is>
          <t>Programa De Capacitación En Competencias Digitales.</t>
        </is>
      </c>
      <c r="E1587" s="26" t="n">
        <v>1700</v>
      </c>
      <c r="F1587" s="27">
        <f>E1587/Config!$B$1</f>
        <v/>
      </c>
      <c r="G1587" s="28" t="inlineStr">
        <is>
          <t>Estimado (mediana de categoría)</t>
        </is>
      </c>
    </row>
    <row r="1588" ht="15" customHeight="1" s="19">
      <c r="A1588" s="24" t="n">
        <v>7627</v>
      </c>
      <c r="B1588" s="25" t="inlineStr">
        <is>
          <t>Capacitación en inteligencia artificial</t>
        </is>
      </c>
      <c r="C1588" s="24" t="inlineStr">
        <is>
          <t>Formación y Capacitación</t>
        </is>
      </c>
      <c r="D1588" s="25" t="inlineStr">
        <is>
          <t>Capacitación En Ia</t>
        </is>
      </c>
      <c r="E1588" s="26" t="n">
        <v>720</v>
      </c>
      <c r="F1588" s="27">
        <f>E1588/Config!$B$1</f>
        <v/>
      </c>
      <c r="G1588" s="24" t="inlineStr">
        <is>
          <t>Real</t>
        </is>
      </c>
    </row>
    <row r="1589" ht="15" customHeight="1" s="19">
      <c r="A1589" s="24" t="n">
        <v>7636</v>
      </c>
      <c r="B1589" s="25" t="inlineStr">
        <is>
          <t>Capacitación en liderazgo y gestión de equipos</t>
        </is>
      </c>
      <c r="C1589" s="24" t="inlineStr">
        <is>
          <t>Formación y Capacitación</t>
        </is>
      </c>
      <c r="D1589" s="25" t="inlineStr">
        <is>
          <t>Capacitación En Liderazgo</t>
        </is>
      </c>
      <c r="E1589" s="26" t="n">
        <v>810</v>
      </c>
      <c r="F1589" s="27">
        <f>E1589/Config!$B$1</f>
        <v/>
      </c>
      <c r="G1589" s="24" t="inlineStr">
        <is>
          <t>Real</t>
        </is>
      </c>
    </row>
    <row r="1590" ht="23.25" customHeight="1" s="19">
      <c r="A1590" s="24" t="n">
        <v>6339</v>
      </c>
      <c r="B1590" s="25" t="inlineStr">
        <is>
          <t>Capacitación en transformación digital</t>
        </is>
      </c>
      <c r="C1590" s="24" t="inlineStr">
        <is>
          <t>Formación y Capacitación</t>
        </is>
      </c>
      <c r="D1590" s="25" t="inlineStr">
        <is>
          <t>Servicios De Capacitación En Habilidades Y Competencias Para La Transformación Digital.</t>
        </is>
      </c>
      <c r="E1590" s="26" t="n">
        <v>720</v>
      </c>
      <c r="F1590" s="27">
        <f>E1590/Config!$B$1</f>
        <v/>
      </c>
      <c r="G1590" s="24" t="inlineStr">
        <is>
          <t>Real</t>
        </is>
      </c>
    </row>
    <row r="1591" ht="23.25" customHeight="1" s="19">
      <c r="A1591" s="24" t="n">
        <v>8050</v>
      </c>
      <c r="B1591" s="25" t="inlineStr">
        <is>
          <t>Capacitación en transformación digital</t>
        </is>
      </c>
      <c r="C1591" s="24" t="inlineStr">
        <is>
          <t>Formación y Capacitación</t>
        </is>
      </c>
      <c r="D1591" s="25" t="inlineStr">
        <is>
          <t>Servicios De Capacitación En Habilidades Y Competencias Para La Transformación Digital.</t>
        </is>
      </c>
      <c r="E1591" s="26" t="n">
        <v>1700</v>
      </c>
      <c r="F1591" s="27">
        <f>E1591/Config!$B$1</f>
        <v/>
      </c>
      <c r="G1591" s="28" t="inlineStr">
        <is>
          <t>Estimado (mediana de categoría)</t>
        </is>
      </c>
    </row>
    <row r="1592" ht="23.25" customHeight="1" s="19">
      <c r="A1592" s="24" t="n">
        <v>8422</v>
      </c>
      <c r="B1592" s="25" t="inlineStr">
        <is>
          <t>Capacitación y Entrenamiento en ERP: Maximiza la Adopción y Aprovechamiento de tu Sistema</t>
        </is>
      </c>
      <c r="C1592" s="24" t="inlineStr">
        <is>
          <t>Formación y Capacitación</t>
        </is>
      </c>
      <c r="D1592" s="25" t="inlineStr">
        <is>
          <t>Servicios de Capacitación y Entrenamiento en Sistemas Erp</t>
        </is>
      </c>
      <c r="E1592" s="26" t="n">
        <v>1700</v>
      </c>
      <c r="F1592" s="27">
        <f>E1592/Config!$B$1</f>
        <v/>
      </c>
      <c r="G1592" s="28" t="inlineStr">
        <is>
          <t>Estimado (mediana de categoría)</t>
        </is>
      </c>
    </row>
    <row r="1593" ht="15" customHeight="1" s="19">
      <c r="A1593" s="24" t="n">
        <v>6136</v>
      </c>
      <c r="B1593" s="25" t="inlineStr">
        <is>
          <t>Capacitación y Entrenamiento en Herramientas Digitales</t>
        </is>
      </c>
      <c r="C1593" s="24" t="inlineStr">
        <is>
          <t>Formación y Capacitación</t>
        </is>
      </c>
      <c r="D1593" s="25" t="inlineStr">
        <is>
          <t>Capacitación Digital</t>
        </is>
      </c>
      <c r="E1593" s="26" t="n">
        <v>4100</v>
      </c>
      <c r="F1593" s="27">
        <f>E1593/Config!$B$1</f>
        <v/>
      </c>
      <c r="G1593" s="24" t="inlineStr">
        <is>
          <t>Real</t>
        </is>
      </c>
    </row>
    <row r="1594" ht="15" customHeight="1" s="19">
      <c r="A1594" s="24" t="n">
        <v>7860</v>
      </c>
      <c r="B1594" s="25" t="inlineStr">
        <is>
          <t>Capacitación y Entrenamiento en Herramientas Digitales</t>
        </is>
      </c>
      <c r="C1594" s="24" t="inlineStr">
        <is>
          <t>Formación y Capacitación</t>
        </is>
      </c>
      <c r="D1594" s="25" t="inlineStr">
        <is>
          <t>Capacitación Digital</t>
        </is>
      </c>
      <c r="E1594" s="26" t="n">
        <v>1700</v>
      </c>
      <c r="F1594" s="27">
        <f>E1594/Config!$B$1</f>
        <v/>
      </c>
      <c r="G1594" s="28" t="inlineStr">
        <is>
          <t>Estimado (mediana de categoría)</t>
        </is>
      </c>
    </row>
    <row r="1595" ht="15" customHeight="1" s="19">
      <c r="A1595" s="24" t="n">
        <v>6308</v>
      </c>
      <c r="B1595" s="25" t="inlineStr">
        <is>
          <t>Capacitación y formación</t>
        </is>
      </c>
      <c r="C1595" s="24" t="inlineStr">
        <is>
          <t>Formación y Capacitación</t>
        </is>
      </c>
      <c r="D1595" s="25" t="inlineStr">
        <is>
          <t>Capacitación Y Formación De Usuarios.</t>
        </is>
      </c>
      <c r="E1595" s="26" t="n">
        <v>65</v>
      </c>
      <c r="F1595" s="27">
        <f>E1595/Config!$B$1</f>
        <v/>
      </c>
      <c r="G1595" s="24" t="inlineStr">
        <is>
          <t>Real</t>
        </is>
      </c>
    </row>
    <row r="1596" ht="15" customHeight="1" s="19">
      <c r="A1596" s="24" t="n">
        <v>8019</v>
      </c>
      <c r="B1596" s="25" t="inlineStr">
        <is>
          <t>Capacitación y formación</t>
        </is>
      </c>
      <c r="C1596" s="24" t="inlineStr">
        <is>
          <t>Formación y Capacitación</t>
        </is>
      </c>
      <c r="D1596" s="25" t="inlineStr">
        <is>
          <t>Capacitación Y Formación De Usuarios.</t>
        </is>
      </c>
      <c r="E1596" s="26" t="n">
        <v>1700</v>
      </c>
      <c r="F1596" s="27">
        <f>E1596/Config!$B$1</f>
        <v/>
      </c>
      <c r="G1596" s="28" t="inlineStr">
        <is>
          <t>Estimado (mediana de categoría)</t>
        </is>
      </c>
    </row>
    <row r="1597" ht="15" customHeight="1" s="19">
      <c r="A1597" s="24" t="n">
        <v>6156</v>
      </c>
      <c r="B1597" s="25" t="inlineStr">
        <is>
          <t>Consultoría en Estrategia de TI</t>
        </is>
      </c>
      <c r="C1597" s="24" t="inlineStr">
        <is>
          <t>Formación y Capacitación</t>
        </is>
      </c>
      <c r="D1597" s="25" t="inlineStr">
        <is>
          <t>Estrategia De Ti</t>
        </is>
      </c>
      <c r="E1597" s="26" t="n">
        <v>3200</v>
      </c>
      <c r="F1597" s="27">
        <f>E1597/Config!$B$1</f>
        <v/>
      </c>
      <c r="G1597" s="24" t="inlineStr">
        <is>
          <t>Real</t>
        </is>
      </c>
    </row>
    <row r="1598" ht="15" customHeight="1" s="19">
      <c r="A1598" s="24" t="n">
        <v>7880</v>
      </c>
      <c r="B1598" s="25" t="inlineStr">
        <is>
          <t>Consultoría en Estrategia de TI</t>
        </is>
      </c>
      <c r="C1598" s="24" t="inlineStr">
        <is>
          <t>Formación y Capacitación</t>
        </is>
      </c>
      <c r="D1598" s="25" t="inlineStr">
        <is>
          <t>Estrategia De Ti</t>
        </is>
      </c>
      <c r="E1598" s="26" t="n">
        <v>1700</v>
      </c>
      <c r="F1598" s="27">
        <f>E1598/Config!$B$1</f>
        <v/>
      </c>
      <c r="G1598" s="28" t="inlineStr">
        <is>
          <t>Estimado (mediana de categoría)</t>
        </is>
      </c>
    </row>
    <row r="1599" ht="15" customHeight="1" s="19">
      <c r="A1599" s="24" t="n">
        <v>6100</v>
      </c>
      <c r="B1599" s="25" t="inlineStr">
        <is>
          <t>Consultoría en Gestión de Proyectos</t>
        </is>
      </c>
      <c r="C1599" s="24" t="inlineStr">
        <is>
          <t>Formación y Capacitación</t>
        </is>
      </c>
      <c r="D1599" s="25" t="inlineStr">
        <is>
          <t>Consultoría En Proyectos</t>
        </is>
      </c>
      <c r="E1599" s="26" t="n">
        <v>4800</v>
      </c>
      <c r="F1599" s="27">
        <f>E1599/Config!$B$1</f>
        <v/>
      </c>
      <c r="G1599" s="24" t="inlineStr">
        <is>
          <t>Real</t>
        </is>
      </c>
    </row>
    <row r="1600" ht="23.25" customHeight="1" s="19">
      <c r="A1600" s="24" t="n">
        <v>7783</v>
      </c>
      <c r="B1600" s="25" t="inlineStr">
        <is>
          <t>Consultoría en Transformación Organizacional</t>
        </is>
      </c>
      <c r="C1600" s="24" t="inlineStr">
        <is>
          <t>Formación y Capacitación</t>
        </is>
      </c>
      <c r="D1600" s="25" t="inlineStr">
        <is>
          <t>Transformación Organizacional Y Habilidades Digitales</t>
        </is>
      </c>
      <c r="E1600" s="26" t="n">
        <v>1700</v>
      </c>
      <c r="F1600" s="27">
        <f>E1600/Config!$B$1</f>
        <v/>
      </c>
      <c r="G1600" s="28" t="inlineStr">
        <is>
          <t>Estimado (mediana de categoría)</t>
        </is>
      </c>
    </row>
    <row r="1601" ht="23.25" customHeight="1" s="19">
      <c r="A1601" s="24" t="n">
        <v>7742</v>
      </c>
      <c r="B1601" s="25" t="inlineStr">
        <is>
          <t>Consultoría en transformación organizacional y desarrollo de capacidades digitales</t>
        </is>
      </c>
      <c r="C1601" s="24" t="inlineStr">
        <is>
          <t>Formación y Capacitación</t>
        </is>
      </c>
      <c r="D1601" s="25" t="inlineStr">
        <is>
          <t>Transformación Organizacional Y Capacidades Digitales</t>
        </is>
      </c>
      <c r="E1601" s="26" t="n">
        <v>1700</v>
      </c>
      <c r="F1601" s="27">
        <f>E1601/Config!$B$1</f>
        <v/>
      </c>
      <c r="G1601" s="28" t="inlineStr">
        <is>
          <t>Estimado (mediana de categoría)</t>
        </is>
      </c>
    </row>
    <row r="1602" ht="23.25" customHeight="1" s="19">
      <c r="A1602" s="24" t="n">
        <v>6007</v>
      </c>
      <c r="B1602" s="25" t="inlineStr">
        <is>
          <t>Consultoría en transformación organizacional y desarrollo de capacidades digitales para el personal</t>
        </is>
      </c>
      <c r="C1602" s="24" t="inlineStr">
        <is>
          <t>Formación y Capacitación</t>
        </is>
      </c>
      <c r="D1602" s="25" t="inlineStr">
        <is>
          <t>Consultoría</t>
        </is>
      </c>
      <c r="E1602" s="26" t="n">
        <v>16200</v>
      </c>
      <c r="F1602" s="27">
        <f>E1602/Config!$B$1</f>
        <v/>
      </c>
      <c r="G1602" s="24" t="inlineStr">
        <is>
          <t>Real</t>
        </is>
      </c>
    </row>
    <row r="1603" ht="23.25" customHeight="1" s="19">
      <c r="A1603" s="24" t="n">
        <v>7770</v>
      </c>
      <c r="B1603" s="25" t="inlineStr">
        <is>
          <t>Consultoría en transformación organizacional y desarrollo de capacidades digitales para el personal</t>
        </is>
      </c>
      <c r="C1603" s="24" t="inlineStr">
        <is>
          <t>Formación y Capacitación</t>
        </is>
      </c>
      <c r="D1603" s="25" t="inlineStr">
        <is>
          <t>Consultoría</t>
        </is>
      </c>
      <c r="E1603" s="26" t="n">
        <v>1700</v>
      </c>
      <c r="F1603" s="27">
        <f>E1603/Config!$B$1</f>
        <v/>
      </c>
      <c r="G1603" s="28" t="inlineStr">
        <is>
          <t>Estimado (mediana de categoría)</t>
        </is>
      </c>
    </row>
    <row r="1604" ht="23.25" customHeight="1" s="19">
      <c r="A1604" s="24" t="n">
        <v>6000</v>
      </c>
      <c r="B1604" s="25" t="inlineStr">
        <is>
          <t>Consultoría en transformación organizacional y desarrollo de habilidades digitales para el personal</t>
        </is>
      </c>
      <c r="C1604" s="24" t="inlineStr">
        <is>
          <t>Formación y Capacitación</t>
        </is>
      </c>
      <c r="D1604" s="25" t="inlineStr">
        <is>
          <t>Consultoría</t>
        </is>
      </c>
      <c r="E1604" s="26" t="n">
        <v>16200</v>
      </c>
      <c r="F1604" s="27">
        <f>E1604/Config!$B$1</f>
        <v/>
      </c>
      <c r="G1604" s="24" t="inlineStr">
        <is>
          <t>Real</t>
        </is>
      </c>
    </row>
    <row r="1605" ht="23.25" customHeight="1" s="19">
      <c r="A1605" s="24" t="n">
        <v>7763</v>
      </c>
      <c r="B1605" s="25" t="inlineStr">
        <is>
          <t>Consultoría en transformación organizacional y desarrollo de habilidades digitales para el personal</t>
        </is>
      </c>
      <c r="C1605" s="24" t="inlineStr">
        <is>
          <t>Formación y Capacitación</t>
        </is>
      </c>
      <c r="D1605" s="25" t="inlineStr">
        <is>
          <t>Consultoría</t>
        </is>
      </c>
      <c r="E1605" s="26" t="n">
        <v>1700</v>
      </c>
      <c r="F1605" s="27">
        <f>E1605/Config!$B$1</f>
        <v/>
      </c>
      <c r="G1605" s="28" t="inlineStr">
        <is>
          <t>Estimado (mediana de categoría)</t>
        </is>
      </c>
    </row>
    <row r="1606" ht="15" customHeight="1" s="19">
      <c r="A1606" s="24" t="n">
        <v>8018</v>
      </c>
      <c r="B1606" s="25" t="inlineStr">
        <is>
          <t>Consultoría especializada</t>
        </is>
      </c>
      <c r="C1606" s="24" t="inlineStr">
        <is>
          <t>Formación y Capacitación</t>
        </is>
      </c>
      <c r="D1606" s="25" t="inlineStr">
        <is>
          <t>Consultoría De Expertos En Áreas Especializadas.</t>
        </is>
      </c>
      <c r="E1606" s="26" t="n">
        <v>1700</v>
      </c>
      <c r="F1606" s="27">
        <f>E1606/Config!$B$1</f>
        <v/>
      </c>
      <c r="G1606" s="28" t="inlineStr">
        <is>
          <t>Estimado (mediana de categoría)</t>
        </is>
      </c>
    </row>
    <row r="1607" ht="23.25" customHeight="1" s="19">
      <c r="A1607" s="24" t="n">
        <v>8031</v>
      </c>
      <c r="B1607" s="25" t="inlineStr">
        <is>
          <t>Consultoría legal</t>
        </is>
      </c>
      <c r="C1607" s="24" t="inlineStr">
        <is>
          <t>Formación y Capacitación</t>
        </is>
      </c>
      <c r="D1607" s="25" t="inlineStr">
        <is>
          <t>Servicios De Consultoría Y Asesoría Legal Para Empresas.</t>
        </is>
      </c>
      <c r="E1607" s="26" t="n">
        <v>1700</v>
      </c>
      <c r="F1607" s="27">
        <f>E1607/Config!$B$1</f>
        <v/>
      </c>
      <c r="G1607" s="28" t="inlineStr">
        <is>
          <t>Estimado (mediana de categoría)</t>
        </is>
      </c>
    </row>
    <row r="1608" ht="15" customHeight="1" s="19">
      <c r="A1608" s="24" t="n">
        <v>6781</v>
      </c>
      <c r="B1608" s="25" t="inlineStr">
        <is>
          <t>Cursos de Formación en TI</t>
        </is>
      </c>
      <c r="C1608" s="24" t="inlineStr">
        <is>
          <t>Formación y Capacitación</t>
        </is>
      </c>
      <c r="D1608" s="25" t="inlineStr">
        <is>
          <t>Cursos En Tecnologías De La Información.</t>
        </is>
      </c>
      <c r="E1608" s="26" t="n">
        <v>900</v>
      </c>
      <c r="F1608" s="27">
        <f>E1608/Config!$B$1</f>
        <v/>
      </c>
      <c r="G1608" s="24" t="inlineStr">
        <is>
          <t>Real</t>
        </is>
      </c>
    </row>
    <row r="1609" ht="15" customHeight="1" s="19">
      <c r="A1609" s="24" t="n">
        <v>6784</v>
      </c>
      <c r="B1609" s="25" t="inlineStr">
        <is>
          <t>Cursos de Formación en Tecnologías Digitales</t>
        </is>
      </c>
      <c r="C1609" s="24" t="inlineStr">
        <is>
          <t>Formación y Capacitación</t>
        </is>
      </c>
      <c r="D1609" s="25" t="inlineStr">
        <is>
          <t>Formación En Tecnologías Digitales.</t>
        </is>
      </c>
      <c r="E1609" s="26" t="n">
        <v>1300</v>
      </c>
      <c r="F1609" s="27">
        <f>E1609/Config!$B$1</f>
        <v/>
      </c>
      <c r="G1609" s="24" t="inlineStr">
        <is>
          <t>Real</t>
        </is>
      </c>
    </row>
    <row r="1610" ht="23.25" customHeight="1" s="19">
      <c r="A1610" s="24" t="n">
        <v>6522</v>
      </c>
      <c r="B1610" s="25" t="inlineStr">
        <is>
          <t>Cursos de idiomas online</t>
        </is>
      </c>
      <c r="C1610" s="24" t="inlineStr">
        <is>
          <t>Formación y Capacitación</t>
        </is>
      </c>
      <c r="D1610" s="25" t="inlineStr">
        <is>
          <t>Cursos De Aprendizaje De Idiomas A Distancia A Través De Una Plataforma Online.</t>
        </is>
      </c>
      <c r="E1610" s="26" t="n">
        <v>30</v>
      </c>
      <c r="F1610" s="27">
        <f>E1610/Config!$B$1</f>
        <v/>
      </c>
      <c r="G1610" s="24" t="inlineStr">
        <is>
          <t>Real</t>
        </is>
      </c>
    </row>
    <row r="1611" ht="23.25" customHeight="1" s="19">
      <c r="A1611" s="24" t="n">
        <v>8224</v>
      </c>
      <c r="B1611" s="25" t="inlineStr">
        <is>
          <t>Cursos de idiomas online</t>
        </is>
      </c>
      <c r="C1611" s="24" t="inlineStr">
        <is>
          <t>Formación y Capacitación</t>
        </is>
      </c>
      <c r="D1611" s="25" t="inlineStr">
        <is>
          <t>Cursos De Aprendizaje De Idiomas A Distancia A Través De Una Plataforma Online.</t>
        </is>
      </c>
      <c r="E1611" s="26" t="n">
        <v>1700</v>
      </c>
      <c r="F1611" s="27">
        <f>E1611/Config!$B$1</f>
        <v/>
      </c>
      <c r="G1611" s="28" t="inlineStr">
        <is>
          <t>Estimado (mediana de categoría)</t>
        </is>
      </c>
    </row>
    <row r="1612" ht="15" customHeight="1" s="19">
      <c r="A1612" s="24" t="n">
        <v>6779</v>
      </c>
      <c r="B1612" s="25" t="inlineStr">
        <is>
          <t>Cursos en Tecnologías Digitales</t>
        </is>
      </c>
      <c r="C1612" s="24" t="inlineStr">
        <is>
          <t>Formación y Capacitación</t>
        </is>
      </c>
      <c r="D1612" s="25" t="inlineStr">
        <is>
          <t>Cursos De Formación En Tecnologías Digitales.</t>
        </is>
      </c>
      <c r="E1612" s="26" t="n">
        <v>1500</v>
      </c>
      <c r="F1612" s="27">
        <f>E1612/Config!$B$1</f>
        <v/>
      </c>
      <c r="G1612" s="24" t="inlineStr">
        <is>
          <t>Real</t>
        </is>
      </c>
    </row>
    <row r="1613" ht="15" customHeight="1" s="19">
      <c r="A1613" s="24" t="n">
        <v>6783</v>
      </c>
      <c r="B1613" s="25" t="inlineStr">
        <is>
          <t>Desarrollo De Competencias Digitales</t>
        </is>
      </c>
      <c r="C1613" s="24" t="inlineStr">
        <is>
          <t>Formación y Capacitación</t>
        </is>
      </c>
      <c r="D1613" s="25" t="inlineStr">
        <is>
          <t>Desarrollo De Competencias Digitales.</t>
        </is>
      </c>
      <c r="E1613" s="26" t="n">
        <v>1300</v>
      </c>
      <c r="F1613" s="27">
        <f>E1613/Config!$B$1</f>
        <v/>
      </c>
      <c r="G1613" s="24" t="inlineStr">
        <is>
          <t>Real</t>
        </is>
      </c>
    </row>
    <row r="1614" ht="15" customHeight="1" s="19">
      <c r="A1614" s="24" t="n">
        <v>6789</v>
      </c>
      <c r="B1614" s="25" t="inlineStr">
        <is>
          <t>Desarrollo de Competencias Digitales para Equipos</t>
        </is>
      </c>
      <c r="C1614" s="24" t="inlineStr">
        <is>
          <t>Formación y Capacitación</t>
        </is>
      </c>
      <c r="D1614" s="25" t="inlineStr">
        <is>
          <t>Competencias Digitales Para Equipos.</t>
        </is>
      </c>
      <c r="E1614" s="26" t="n">
        <v>3200</v>
      </c>
      <c r="F1614" s="27">
        <f>E1614/Config!$B$1</f>
        <v/>
      </c>
      <c r="G1614" s="24" t="inlineStr">
        <is>
          <t>Real</t>
        </is>
      </c>
    </row>
    <row r="1615" ht="23.25" customHeight="1" s="19">
      <c r="A1615" s="24" t="n">
        <v>7524</v>
      </c>
      <c r="B1615" s="25" t="inlineStr">
        <is>
          <t>Formación de Usuarios Avanzada: Domina tus habilidades y lleva tu productividad al siguiente nivel</t>
        </is>
      </c>
      <c r="C1615" s="24" t="inlineStr">
        <is>
          <t>Formación y Capacitación</t>
        </is>
      </c>
      <c r="D1615" s="25" t="inlineStr">
        <is>
          <t>Capacitación de Usuarios Avanzada: Domina tus herramientas y potencia tu productividad</t>
        </is>
      </c>
      <c r="E1615" s="26" t="n">
        <v>800</v>
      </c>
      <c r="F1615" s="27">
        <f>E1615/Config!$B$1</f>
        <v/>
      </c>
      <c r="G1615" s="24" t="inlineStr">
        <is>
          <t>Real</t>
        </is>
      </c>
    </row>
    <row r="1616" ht="15" customHeight="1" s="19">
      <c r="A1616" s="24" t="n">
        <v>6794</v>
      </c>
      <c r="B1616" s="25" t="inlineStr">
        <is>
          <t>Formación en Gestión de Proyectos</t>
        </is>
      </c>
      <c r="C1616" s="24" t="inlineStr">
        <is>
          <t>Formación y Capacitación</t>
        </is>
      </c>
      <c r="D1616" s="25" t="inlineStr">
        <is>
          <t>Gestión De Proyectos</t>
        </is>
      </c>
      <c r="E1616" s="26" t="n">
        <v>3300</v>
      </c>
      <c r="F1616" s="27">
        <f>E1616/Config!$B$1</f>
        <v/>
      </c>
      <c r="G1616" s="24" t="inlineStr">
        <is>
          <t>Real</t>
        </is>
      </c>
    </row>
    <row r="1617" ht="15" customHeight="1" s="19">
      <c r="A1617" s="24" t="n">
        <v>6797</v>
      </c>
      <c r="B1617" s="25" t="inlineStr">
        <is>
          <t>Formación en Tecnología Avanzada</t>
        </is>
      </c>
      <c r="C1617" s="24" t="inlineStr">
        <is>
          <t>Formación y Capacitación</t>
        </is>
      </c>
      <c r="D1617" s="25" t="inlineStr">
        <is>
          <t>Formación En Tecnología Avanzada</t>
        </is>
      </c>
      <c r="E1617" s="26" t="n">
        <v>3800</v>
      </c>
      <c r="F1617" s="27">
        <f>E1617/Config!$B$1</f>
        <v/>
      </c>
      <c r="G1617" s="24" t="inlineStr">
        <is>
          <t>Real</t>
        </is>
      </c>
    </row>
    <row r="1618" ht="15" customHeight="1" s="19">
      <c r="A1618" s="24" t="n">
        <v>6795</v>
      </c>
      <c r="B1618" s="25" t="inlineStr">
        <is>
          <t>Formación en UX/UI Design</t>
        </is>
      </c>
      <c r="C1618" s="24" t="inlineStr">
        <is>
          <t>Formación y Capacitación</t>
        </is>
      </c>
      <c r="D1618" s="25" t="inlineStr">
        <is>
          <t>Formación En Ux/Ui Design</t>
        </is>
      </c>
      <c r="E1618" s="26" t="n">
        <v>3300</v>
      </c>
      <c r="F1618" s="27">
        <f>E1618/Config!$B$1</f>
        <v/>
      </c>
      <c r="G1618" s="24" t="inlineStr">
        <is>
          <t>Real</t>
        </is>
      </c>
    </row>
    <row r="1619" ht="15" customHeight="1" s="19">
      <c r="A1619" s="24" t="n">
        <v>6470</v>
      </c>
      <c r="B1619" s="25" t="inlineStr">
        <is>
          <t>Formación en idiomas</t>
        </is>
      </c>
      <c r="C1619" s="24" t="inlineStr">
        <is>
          <t>Formación y Capacitación</t>
        </is>
      </c>
      <c r="D1619" s="25" t="inlineStr">
        <is>
          <t>Cursos De Idiomas Con Metodología Efectiva.</t>
        </is>
      </c>
      <c r="E1619" s="26" t="n">
        <v>400</v>
      </c>
      <c r="F1619" s="27">
        <f>E1619/Config!$B$1</f>
        <v/>
      </c>
      <c r="G1619" s="24" t="inlineStr">
        <is>
          <t>Real</t>
        </is>
      </c>
    </row>
    <row r="1620" ht="15" customHeight="1" s="19">
      <c r="A1620" s="24" t="n">
        <v>8180</v>
      </c>
      <c r="B1620" s="25" t="inlineStr">
        <is>
          <t>Formación en idiomas</t>
        </is>
      </c>
      <c r="C1620" s="24" t="inlineStr">
        <is>
          <t>Formación y Capacitación</t>
        </is>
      </c>
      <c r="D1620" s="25" t="inlineStr">
        <is>
          <t>Cursos De Idiomas Con Metodología Efectiva.</t>
        </is>
      </c>
      <c r="E1620" s="26" t="n">
        <v>1700</v>
      </c>
      <c r="F1620" s="27">
        <f>E1620/Config!$B$1</f>
        <v/>
      </c>
      <c r="G1620" s="28" t="inlineStr">
        <is>
          <t>Estimado (mediana de categoría)</t>
        </is>
      </c>
    </row>
    <row r="1621" ht="15" customHeight="1" s="19">
      <c r="A1621" s="24" t="n">
        <v>6778</v>
      </c>
      <c r="B1621" s="25" t="inlineStr">
        <is>
          <t>Formación y Capacitación</t>
        </is>
      </c>
      <c r="C1621" s="24" t="inlineStr">
        <is>
          <t>Formación y Capacitación</t>
        </is>
      </c>
      <c r="D1621" s="25" t="n"/>
      <c r="E1621" s="26" t="n">
        <v>1700</v>
      </c>
      <c r="F1621" s="27">
        <f>E1621/Config!$B$1</f>
        <v/>
      </c>
      <c r="G1621" s="28" t="inlineStr">
        <is>
          <t>Estimado (mediana de categoría)</t>
        </is>
      </c>
    </row>
    <row r="1622" ht="15" customHeight="1" s="19">
      <c r="A1622" s="24" t="n">
        <v>6175</v>
      </c>
      <c r="B1622" s="25" t="inlineStr">
        <is>
          <t>Formación y Capacitación Digital</t>
        </is>
      </c>
      <c r="C1622" s="24" t="inlineStr">
        <is>
          <t>Formación y Capacitación</t>
        </is>
      </c>
      <c r="D1622" s="25" t="inlineStr">
        <is>
          <t>Capacitación En Transformación Digital</t>
        </is>
      </c>
      <c r="E1622" s="26" t="n">
        <v>3000</v>
      </c>
      <c r="F1622" s="27">
        <f>E1622/Config!$B$1</f>
        <v/>
      </c>
      <c r="G1622" s="24" t="inlineStr">
        <is>
          <t>Real</t>
        </is>
      </c>
    </row>
    <row r="1623" ht="15" customHeight="1" s="19">
      <c r="A1623" s="24" t="n">
        <v>7899</v>
      </c>
      <c r="B1623" s="25" t="inlineStr">
        <is>
          <t>Formación y Capacitación Digital</t>
        </is>
      </c>
      <c r="C1623" s="24" t="inlineStr">
        <is>
          <t>Formación y Capacitación</t>
        </is>
      </c>
      <c r="D1623" s="25" t="inlineStr">
        <is>
          <t>Capacitación En Transformación Digital</t>
        </is>
      </c>
      <c r="E1623" s="26" t="n">
        <v>1700</v>
      </c>
      <c r="F1623" s="27">
        <f>E1623/Config!$B$1</f>
        <v/>
      </c>
      <c r="G1623" s="28" t="inlineStr">
        <is>
          <t>Estimado (mediana de categoría)</t>
        </is>
      </c>
    </row>
    <row r="1624" ht="15" customHeight="1" s="19">
      <c r="A1624" s="24" t="n">
        <v>6176</v>
      </c>
      <c r="B1624" s="25" t="inlineStr">
        <is>
          <t>Gestión de Proyectos Digitales</t>
        </is>
      </c>
      <c r="C1624" s="24" t="inlineStr">
        <is>
          <t>Formación y Capacitación</t>
        </is>
      </c>
      <c r="D1624" s="25" t="inlineStr">
        <is>
          <t>Gestión De Proyectos Digitales</t>
        </is>
      </c>
      <c r="E1624" s="26" t="n">
        <v>4500</v>
      </c>
      <c r="F1624" s="27">
        <f>E1624/Config!$B$1</f>
        <v/>
      </c>
      <c r="G1624" s="24" t="inlineStr">
        <is>
          <t>Real</t>
        </is>
      </c>
    </row>
    <row r="1625" ht="15" customHeight="1" s="19">
      <c r="A1625" s="24" t="n">
        <v>7900</v>
      </c>
      <c r="B1625" s="25" t="inlineStr">
        <is>
          <t>Gestión de Proyectos Digitales</t>
        </is>
      </c>
      <c r="C1625" s="24" t="inlineStr">
        <is>
          <t>Formación y Capacitación</t>
        </is>
      </c>
      <c r="D1625" s="25" t="inlineStr">
        <is>
          <t>Gestión De Proyectos Digitales</t>
        </is>
      </c>
      <c r="E1625" s="26" t="n">
        <v>1700</v>
      </c>
      <c r="F1625" s="27">
        <f>E1625/Config!$B$1</f>
        <v/>
      </c>
      <c r="G1625" s="28" t="inlineStr">
        <is>
          <t>Estimado (mediana de categoría)</t>
        </is>
      </c>
    </row>
    <row r="1626" ht="15" customHeight="1" s="19">
      <c r="A1626" s="24" t="n">
        <v>6109</v>
      </c>
      <c r="B1626" s="25" t="inlineStr">
        <is>
          <t>Gestión de Proyectos Ágiles</t>
        </is>
      </c>
      <c r="C1626" s="24" t="inlineStr">
        <is>
          <t>Formación y Capacitación</t>
        </is>
      </c>
      <c r="D1626" s="25" t="inlineStr">
        <is>
          <t>Gestión De Proyectos Ágiles</t>
        </is>
      </c>
      <c r="E1626" s="26" t="n">
        <v>4700</v>
      </c>
      <c r="F1626" s="27">
        <f>E1626/Config!$B$1</f>
        <v/>
      </c>
      <c r="G1626" s="24" t="inlineStr">
        <is>
          <t>Real</t>
        </is>
      </c>
    </row>
    <row r="1627" ht="15" customHeight="1" s="19">
      <c r="A1627" s="24" t="n">
        <v>7833</v>
      </c>
      <c r="B1627" s="25" t="inlineStr">
        <is>
          <t>Gestión de Proyectos Ágiles</t>
        </is>
      </c>
      <c r="C1627" s="24" t="inlineStr">
        <is>
          <t>Formación y Capacitación</t>
        </is>
      </c>
      <c r="D1627" s="25" t="inlineStr">
        <is>
          <t>Gestión De Proyectos Ágiles</t>
        </is>
      </c>
      <c r="E1627" s="26" t="n">
        <v>1700</v>
      </c>
      <c r="F1627" s="27">
        <f>E1627/Config!$B$1</f>
        <v/>
      </c>
      <c r="G1627" s="28" t="inlineStr">
        <is>
          <t>Estimado (mediana de categoría)</t>
        </is>
      </c>
    </row>
    <row r="1628" ht="15" customHeight="1" s="19">
      <c r="A1628" s="24" t="n">
        <v>6294</v>
      </c>
      <c r="B1628" s="25" t="inlineStr">
        <is>
          <t>Gestión de Proyectos Ágiles con IA</t>
        </is>
      </c>
      <c r="C1628" s="24" t="inlineStr">
        <is>
          <t>Formación y Capacitación</t>
        </is>
      </c>
      <c r="D1628" s="25" t="inlineStr">
        <is>
          <t>Solución De Gestión De Proyectos Ágiles Con Ia</t>
        </is>
      </c>
      <c r="E1628" s="26" t="n">
        <v>149</v>
      </c>
      <c r="F1628" s="27">
        <f>E1628/Config!$B$1</f>
        <v/>
      </c>
      <c r="G1628" s="24" t="inlineStr">
        <is>
          <t>Real</t>
        </is>
      </c>
    </row>
    <row r="1629" ht="15" customHeight="1" s="19">
      <c r="A1629" s="24" t="n">
        <v>8007</v>
      </c>
      <c r="B1629" s="25" t="inlineStr">
        <is>
          <t>Gestión de Proyectos Ágiles con IA</t>
        </is>
      </c>
      <c r="C1629" s="24" t="inlineStr">
        <is>
          <t>Formación y Capacitación</t>
        </is>
      </c>
      <c r="D1629" s="25" t="inlineStr">
        <is>
          <t>Solución De Gestión De Proyectos Ágiles Con Ia</t>
        </is>
      </c>
      <c r="E1629" s="26" t="n">
        <v>1700</v>
      </c>
      <c r="F1629" s="27">
        <f>E1629/Config!$B$1</f>
        <v/>
      </c>
      <c r="G1629" s="28" t="inlineStr">
        <is>
          <t>Estimado (mediana de categoría)</t>
        </is>
      </c>
    </row>
    <row r="1630" ht="15" customHeight="1" s="19">
      <c r="A1630" s="24" t="n">
        <v>6937</v>
      </c>
      <c r="B1630" s="25" t="inlineStr">
        <is>
          <t>Implementación de Plataforma de E-Learning</t>
        </is>
      </c>
      <c r="C1630" s="24" t="inlineStr">
        <is>
          <t>Formación y Capacitación</t>
        </is>
      </c>
      <c r="D1630" s="25" t="inlineStr">
        <is>
          <t>Plataforma De E-Learning</t>
        </is>
      </c>
      <c r="E1630" s="26" t="n">
        <v>8500</v>
      </c>
      <c r="F1630" s="27">
        <f>E1630/Config!$B$1</f>
        <v/>
      </c>
      <c r="G1630" s="24" t="inlineStr">
        <is>
          <t>Real</t>
        </is>
      </c>
    </row>
    <row r="1631" ht="15" customHeight="1" s="19">
      <c r="A1631" s="24" t="n">
        <v>7587</v>
      </c>
      <c r="B1631" s="25" t="inlineStr">
        <is>
          <t>Implementación de soluciones de e-Learning</t>
        </is>
      </c>
      <c r="C1631" s="24" t="inlineStr">
        <is>
          <t>Formación y Capacitación</t>
        </is>
      </c>
      <c r="D1631" s="25" t="inlineStr">
        <is>
          <t>Soluciones De E-Learning</t>
        </is>
      </c>
      <c r="E1631" s="26" t="n">
        <v>720</v>
      </c>
      <c r="F1631" s="27">
        <f>E1631/Config!$B$1</f>
        <v/>
      </c>
      <c r="G1631" s="24" t="inlineStr">
        <is>
          <t>Real</t>
        </is>
      </c>
    </row>
    <row r="1632" ht="15" customHeight="1" s="19">
      <c r="A1632" s="24" t="n">
        <v>6840</v>
      </c>
      <c r="B1632" s="25" t="inlineStr">
        <is>
          <t>Mantenimiento de Plataformas de E-Learning</t>
        </is>
      </c>
      <c r="C1632" s="24" t="inlineStr">
        <is>
          <t>Formación y Capacitación</t>
        </is>
      </c>
      <c r="D1632" s="25" t="inlineStr">
        <is>
          <t>Mantenimiento De E-Learning</t>
        </is>
      </c>
      <c r="E1632" s="26" t="n">
        <v>2000</v>
      </c>
      <c r="F1632" s="27">
        <f>E1632/Config!$B$1</f>
        <v/>
      </c>
      <c r="G1632" s="24" t="inlineStr">
        <is>
          <t>Real</t>
        </is>
      </c>
    </row>
    <row r="1633" ht="15" customHeight="1" s="19">
      <c r="A1633" s="24" t="n">
        <v>5898</v>
      </c>
      <c r="B1633" s="25" t="inlineStr">
        <is>
          <t>Online Learning Platforms</t>
        </is>
      </c>
      <c r="C1633" s="24" t="inlineStr">
        <is>
          <t>Formación y Capacitación</t>
        </is>
      </c>
      <c r="D1633" s="25" t="inlineStr">
        <is>
          <t>Plataformas De Aprendizaje En Línea</t>
        </is>
      </c>
      <c r="E1633" s="26" t="n">
        <v>8000</v>
      </c>
      <c r="F1633" s="27">
        <f>E1633/Config!$B$1</f>
        <v/>
      </c>
      <c r="G1633" s="24" t="inlineStr">
        <is>
          <t>Real</t>
        </is>
      </c>
    </row>
    <row r="1634" ht="15" customHeight="1" s="19">
      <c r="A1634" s="24" t="n">
        <v>7680</v>
      </c>
      <c r="B1634" s="25" t="inlineStr">
        <is>
          <t>Online Learning Platforms</t>
        </is>
      </c>
      <c r="C1634" s="24" t="inlineStr">
        <is>
          <t>Formación y Capacitación</t>
        </is>
      </c>
      <c r="D1634" s="25" t="inlineStr">
        <is>
          <t>Plataformas De Aprendizaje En Línea</t>
        </is>
      </c>
      <c r="E1634" s="26" t="n">
        <v>1700</v>
      </c>
      <c r="F1634" s="27">
        <f>E1634/Config!$B$1</f>
        <v/>
      </c>
      <c r="G1634" s="28" t="inlineStr">
        <is>
          <t>Estimado (mediana de categoría)</t>
        </is>
      </c>
    </row>
    <row r="1635" ht="23.25" customHeight="1" s="19">
      <c r="A1635" s="24" t="n">
        <v>8030</v>
      </c>
      <c r="B1635" s="25" t="inlineStr">
        <is>
          <t>Planificación estratégica</t>
        </is>
      </c>
      <c r="C1635" s="24" t="inlineStr">
        <is>
          <t>Formación y Capacitación</t>
        </is>
      </c>
      <c r="D1635" s="25" t="inlineStr">
        <is>
          <t>Consultoría En Planificación Estratégica Para Empresas.</t>
        </is>
      </c>
      <c r="E1635" s="26" t="n">
        <v>1700</v>
      </c>
      <c r="F1635" s="27">
        <f>E1635/Config!$B$1</f>
        <v/>
      </c>
      <c r="G1635" s="28" t="inlineStr">
        <is>
          <t>Estimado (mediana de categoría)</t>
        </is>
      </c>
    </row>
    <row r="1636" ht="15" customHeight="1" s="19">
      <c r="A1636" s="24" t="n">
        <v>6929</v>
      </c>
      <c r="B1636" s="25" t="inlineStr">
        <is>
          <t>Plataforma E-Learning</t>
        </is>
      </c>
      <c r="C1636" s="24" t="inlineStr">
        <is>
          <t>Formación y Capacitación</t>
        </is>
      </c>
      <c r="D1636" s="25" t="inlineStr">
        <is>
          <t>Plataforma De E-Learning</t>
        </is>
      </c>
      <c r="E1636" s="26" t="n">
        <v>2700</v>
      </c>
      <c r="F1636" s="27">
        <f>E1636/Config!$B$1</f>
        <v/>
      </c>
      <c r="G1636" s="24" t="inlineStr">
        <is>
          <t>Real</t>
        </is>
      </c>
    </row>
    <row r="1637" ht="15" customHeight="1" s="19">
      <c r="A1637" s="24" t="n">
        <v>6246</v>
      </c>
      <c r="B1637" s="25" t="inlineStr">
        <is>
          <t>Plataforma de Aprendizaje en Línea</t>
        </is>
      </c>
      <c r="C1637" s="24" t="inlineStr">
        <is>
          <t>Formación y Capacitación</t>
        </is>
      </c>
      <c r="D1637" s="25" t="inlineStr">
        <is>
          <t>Cursos Y Recursos Educativos En Línea</t>
        </is>
      </c>
      <c r="E1637" s="26" t="n">
        <v>370</v>
      </c>
      <c r="F1637" s="27">
        <f>E1637/Config!$B$1</f>
        <v/>
      </c>
      <c r="G1637" s="24" t="inlineStr">
        <is>
          <t>Real</t>
        </is>
      </c>
    </row>
    <row r="1638" ht="15" customHeight="1" s="19">
      <c r="A1638" s="24" t="n">
        <v>7970</v>
      </c>
      <c r="B1638" s="25" t="inlineStr">
        <is>
          <t>Plataforma de Aprendizaje en Línea</t>
        </is>
      </c>
      <c r="C1638" s="24" t="inlineStr">
        <is>
          <t>Formación y Capacitación</t>
        </is>
      </c>
      <c r="D1638" s="25" t="inlineStr">
        <is>
          <t>Cursos Y Recursos Educativos En Línea</t>
        </is>
      </c>
      <c r="E1638" s="26" t="n">
        <v>1700</v>
      </c>
      <c r="F1638" s="27">
        <f>E1638/Config!$B$1</f>
        <v/>
      </c>
      <c r="G1638" s="28" t="inlineStr">
        <is>
          <t>Estimado (mediana de categoría)</t>
        </is>
      </c>
    </row>
    <row r="1639" ht="23.25" customHeight="1" s="19">
      <c r="A1639" s="24" t="n">
        <v>6788</v>
      </c>
      <c r="B1639" s="25" t="inlineStr">
        <is>
          <t>Programas De Capacitación En Herramientas De Gestión</t>
        </is>
      </c>
      <c r="C1639" s="24" t="inlineStr">
        <is>
          <t>Formación y Capacitación</t>
        </is>
      </c>
      <c r="D1639" s="25" t="inlineStr">
        <is>
          <t>Capacitación En Herramientas De Gestión.</t>
        </is>
      </c>
      <c r="E1639" s="26" t="n">
        <v>2500</v>
      </c>
      <c r="F1639" s="27">
        <f>E1639/Config!$B$1</f>
        <v/>
      </c>
      <c r="G1639" s="24" t="inlineStr">
        <is>
          <t>Real</t>
        </is>
      </c>
    </row>
    <row r="1640" ht="15" customHeight="1" s="19">
      <c r="A1640" s="24" t="n">
        <v>6786</v>
      </c>
      <c r="B1640" s="25" t="inlineStr">
        <is>
          <t>Programas de Capacitación para Empresas</t>
        </is>
      </c>
      <c r="C1640" s="24" t="inlineStr">
        <is>
          <t>Formación y Capacitación</t>
        </is>
      </c>
      <c r="D1640" s="25" t="inlineStr">
        <is>
          <t>Capacitación Para Empresas.</t>
        </is>
      </c>
      <c r="E1640" s="26" t="n">
        <v>3500</v>
      </c>
      <c r="F1640" s="27">
        <f>E1640/Config!$B$1</f>
        <v/>
      </c>
      <c r="G1640" s="24" t="inlineStr">
        <is>
          <t>Real</t>
        </is>
      </c>
    </row>
    <row r="1641" ht="23.25" customHeight="1" s="19">
      <c r="A1641" s="24" t="n">
        <v>6713</v>
      </c>
      <c r="B1641" s="25" t="inlineStr">
        <is>
          <t>Servicios de Capacitación en ERP</t>
        </is>
      </c>
      <c r="C1641" s="24" t="inlineStr">
        <is>
          <t>Formación y Capacitación</t>
        </is>
      </c>
      <c r="D1641" s="25" t="inlineStr">
        <is>
          <t>Servicios De Capacitación En El Uso De Sistemas Erp.</t>
        </is>
      </c>
      <c r="E1641" s="26" t="n">
        <v>1000</v>
      </c>
      <c r="F1641" s="27">
        <f>E1641/Config!$B$1</f>
        <v/>
      </c>
      <c r="G1641" s="24" t="inlineStr">
        <is>
          <t>Real</t>
        </is>
      </c>
    </row>
    <row r="1642" ht="23.25" customHeight="1" s="19">
      <c r="A1642" s="24" t="n">
        <v>6721</v>
      </c>
      <c r="B1642" s="25" t="inlineStr">
        <is>
          <t>Servicios de Capacitación y Entrenamiento en ERP</t>
        </is>
      </c>
      <c r="C1642" s="24" t="inlineStr">
        <is>
          <t>Formación y Capacitación</t>
        </is>
      </c>
      <c r="D1642" s="25" t="inlineStr">
        <is>
          <t>Servicios De Capacitación Y Entrenamiento En Sistemas Erp.</t>
        </is>
      </c>
      <c r="E1642" s="26" t="n">
        <v>1000</v>
      </c>
      <c r="F1642" s="27">
        <f>E1642/Config!$B$1</f>
        <v/>
      </c>
      <c r="G1642" s="24" t="inlineStr">
        <is>
          <t>Real</t>
        </is>
      </c>
    </row>
    <row r="1643" ht="23.25" customHeight="1" s="19">
      <c r="A1643" s="24" t="n">
        <v>6349</v>
      </c>
      <c r="B1643" s="25" t="inlineStr">
        <is>
          <t>Servicios de capacitación</t>
        </is>
      </c>
      <c r="C1643" s="24" t="inlineStr">
        <is>
          <t>Formación y Capacitación</t>
        </is>
      </c>
      <c r="D1643" s="25" t="inlineStr">
        <is>
          <t>Servicios De Capacitación Y Entrenamiento Para El Desarrollo De Competencias Del Personal.</t>
        </is>
      </c>
      <c r="E1643" s="26" t="n">
        <v>1350</v>
      </c>
      <c r="F1643" s="27">
        <f>E1643/Config!$B$1</f>
        <v/>
      </c>
      <c r="G1643" s="24" t="inlineStr">
        <is>
          <t>Real</t>
        </is>
      </c>
    </row>
    <row r="1644" ht="23.25" customHeight="1" s="19">
      <c r="A1644" s="24" t="n">
        <v>8060</v>
      </c>
      <c r="B1644" s="25" t="inlineStr">
        <is>
          <t>Servicios de capacitación</t>
        </is>
      </c>
      <c r="C1644" s="24" t="inlineStr">
        <is>
          <t>Formación y Capacitación</t>
        </is>
      </c>
      <c r="D1644" s="25" t="inlineStr">
        <is>
          <t>Servicios De Capacitación Y Entrenamiento Para El Desarrollo De Competencias Del Personal.</t>
        </is>
      </c>
      <c r="E1644" s="26" t="n">
        <v>1700</v>
      </c>
      <c r="F1644" s="27">
        <f>E1644/Config!$B$1</f>
        <v/>
      </c>
      <c r="G1644" s="28" t="inlineStr">
        <is>
          <t>Estimado (mediana de categoría)</t>
        </is>
      </c>
    </row>
    <row r="1645" ht="23.25" customHeight="1" s="19">
      <c r="A1645" s="24" t="n">
        <v>6407</v>
      </c>
      <c r="B1645" s="25" t="inlineStr">
        <is>
          <t>Servicios de capacitación y entrenamiento en tecnologías digitales</t>
        </is>
      </c>
      <c r="C1645" s="24" t="inlineStr">
        <is>
          <t>Formación y Capacitación</t>
        </is>
      </c>
      <c r="D1645" s="25" t="inlineStr">
        <is>
          <t>Servicios De Capacitación Especializada En Herramientas, Técnicas Y Tendencias Tecnológicas.</t>
        </is>
      </c>
      <c r="E1645" s="26" t="n">
        <v>10800</v>
      </c>
      <c r="F1645" s="27">
        <f>E1645/Config!$B$1</f>
        <v/>
      </c>
      <c r="G1645" s="24" t="inlineStr">
        <is>
          <t>Real</t>
        </is>
      </c>
    </row>
    <row r="1646" ht="23.25" customHeight="1" s="19">
      <c r="A1646" s="24" t="n">
        <v>8118</v>
      </c>
      <c r="B1646" s="25" t="inlineStr">
        <is>
          <t>Servicios de capacitación y entrenamiento en tecnologías digitales</t>
        </is>
      </c>
      <c r="C1646" s="24" t="inlineStr">
        <is>
          <t>Formación y Capacitación</t>
        </is>
      </c>
      <c r="D1646" s="25" t="inlineStr">
        <is>
          <t>Servicios De Capacitación Especializada En Herramientas, Técnicas Y Tendencias Tecnológicas.</t>
        </is>
      </c>
      <c r="E1646" s="26" t="n">
        <v>1700</v>
      </c>
      <c r="F1646" s="27">
        <f>E1646/Config!$B$1</f>
        <v/>
      </c>
      <c r="G1646" s="28" t="inlineStr">
        <is>
          <t>Estimado (mediana de categoría)</t>
        </is>
      </c>
    </row>
    <row r="1647" ht="34.5" customHeight="1" s="19">
      <c r="A1647" s="24" t="n">
        <v>6397</v>
      </c>
      <c r="B1647" s="25" t="inlineStr">
        <is>
          <t>Servicios de capacitación y formación en tecnologías digitales</t>
        </is>
      </c>
      <c r="C1647" s="24" t="inlineStr">
        <is>
          <t>Formación y Capacitación</t>
        </is>
      </c>
      <c r="D1647" s="25" t="inlineStr">
        <is>
          <t>Servicios De Capacitación Y Formación En Competencias Y Soluciones Tecnológicas Avanzadas.</t>
        </is>
      </c>
      <c r="E1647" s="26" t="n">
        <v>4500</v>
      </c>
      <c r="F1647" s="27">
        <f>E1647/Config!$B$1</f>
        <v/>
      </c>
      <c r="G1647" s="24" t="inlineStr">
        <is>
          <t>Real</t>
        </is>
      </c>
    </row>
    <row r="1648" ht="34.5" customHeight="1" s="19">
      <c r="A1648" s="24" t="n">
        <v>8108</v>
      </c>
      <c r="B1648" s="25" t="inlineStr">
        <is>
          <t>Servicios de capacitación y formación en tecnologías digitales</t>
        </is>
      </c>
      <c r="C1648" s="24" t="inlineStr">
        <is>
          <t>Formación y Capacitación</t>
        </is>
      </c>
      <c r="D1648" s="25" t="inlineStr">
        <is>
          <t>Servicios De Capacitación Y Formación En Competencias Y Soluciones Tecnológicas Avanzadas.</t>
        </is>
      </c>
      <c r="E1648" s="26" t="n">
        <v>1700</v>
      </c>
      <c r="F1648" s="27">
        <f>E1648/Config!$B$1</f>
        <v/>
      </c>
      <c r="G1648" s="28" t="inlineStr">
        <is>
          <t>Estimado (mediana de categoría)</t>
        </is>
      </c>
    </row>
    <row r="1649" ht="15" customHeight="1" s="19">
      <c r="A1649" s="24" t="n">
        <v>6799</v>
      </c>
      <c r="B1649" s="25" t="inlineStr">
        <is>
          <t>Taller de Formación en Transformación Digital</t>
        </is>
      </c>
      <c r="C1649" s="24" t="inlineStr">
        <is>
          <t>Formación y Capacitación</t>
        </is>
      </c>
      <c r="D1649" s="25" t="inlineStr">
        <is>
          <t>Taller Transformación Digital</t>
        </is>
      </c>
      <c r="E1649" s="26" t="n">
        <v>1400</v>
      </c>
      <c r="F1649" s="27">
        <f>E1649/Config!$B$1</f>
        <v/>
      </c>
      <c r="G1649" s="24" t="inlineStr">
        <is>
          <t>Real</t>
        </is>
      </c>
    </row>
    <row r="1650" ht="15" customHeight="1" s="19">
      <c r="A1650" s="24" t="n">
        <v>6800</v>
      </c>
      <c r="B1650" s="25" t="inlineStr">
        <is>
          <t>Taller de Innovación en Tecnología</t>
        </is>
      </c>
      <c r="C1650" s="24" t="inlineStr">
        <is>
          <t>Formación y Capacitación</t>
        </is>
      </c>
      <c r="D1650" s="25" t="inlineStr">
        <is>
          <t>Taller Innovación Tecnológica</t>
        </is>
      </c>
      <c r="E1650" s="26" t="n">
        <v>1700</v>
      </c>
      <c r="F1650" s="27">
        <f>E1650/Config!$B$1</f>
        <v/>
      </c>
      <c r="G1650" s="24" t="inlineStr">
        <is>
          <t>Real</t>
        </is>
      </c>
    </row>
    <row r="1651" ht="15" customHeight="1" s="19">
      <c r="A1651" s="24" t="n">
        <v>6472</v>
      </c>
      <c r="B1651" s="25" t="inlineStr">
        <is>
          <t>Taller de emprendimiento</t>
        </is>
      </c>
      <c r="C1651" s="24" t="inlineStr">
        <is>
          <t>Formación y Capacitación</t>
        </is>
      </c>
      <c r="D1651" s="25" t="inlineStr">
        <is>
          <t>Taller Práctico De Capacitación En Emprendimiento.</t>
        </is>
      </c>
      <c r="E1651" s="26" t="n">
        <v>600</v>
      </c>
      <c r="F1651" s="27">
        <f>E1651/Config!$B$1</f>
        <v/>
      </c>
      <c r="G1651" s="24" t="inlineStr">
        <is>
          <t>Real</t>
        </is>
      </c>
    </row>
    <row r="1652" ht="15" customHeight="1" s="19">
      <c r="A1652" s="24" t="n">
        <v>8182</v>
      </c>
      <c r="B1652" s="25" t="inlineStr">
        <is>
          <t>Taller de emprendimiento</t>
        </is>
      </c>
      <c r="C1652" s="24" t="inlineStr">
        <is>
          <t>Formación y Capacitación</t>
        </is>
      </c>
      <c r="D1652" s="25" t="inlineStr">
        <is>
          <t>Taller Práctico De Capacitación En Emprendimiento.</t>
        </is>
      </c>
      <c r="E1652" s="26" t="n">
        <v>1700</v>
      </c>
      <c r="F1652" s="27">
        <f>E1652/Config!$B$1</f>
        <v/>
      </c>
      <c r="G1652" s="28" t="inlineStr">
        <is>
          <t>Estimado (mediana de categoría)</t>
        </is>
      </c>
    </row>
    <row r="1653" ht="15" customHeight="1" s="19">
      <c r="A1653" s="24" t="n">
        <v>6780</v>
      </c>
      <c r="B1653" s="25" t="inlineStr">
        <is>
          <t>Talleres de Capacitación en Gestión</t>
        </is>
      </c>
      <c r="C1653" s="24" t="inlineStr">
        <is>
          <t>Formación y Capacitación</t>
        </is>
      </c>
      <c r="D1653" s="25" t="inlineStr">
        <is>
          <t>Talleres De Capacitación En Gestión.</t>
        </is>
      </c>
      <c r="E1653" s="26" t="n">
        <v>1200</v>
      </c>
      <c r="F1653" s="27">
        <f>E1653/Config!$B$1</f>
        <v/>
      </c>
      <c r="G1653" s="24" t="inlineStr">
        <is>
          <t>Real</t>
        </is>
      </c>
    </row>
    <row r="1654" ht="15" customHeight="1" s="19">
      <c r="A1654" s="24" t="n">
        <v>6785</v>
      </c>
      <c r="B1654" s="25" t="inlineStr">
        <is>
          <t>Talleres de Capacitación en Herramientas de Gestión</t>
        </is>
      </c>
      <c r="C1654" s="24" t="inlineStr">
        <is>
          <t>Formación y Capacitación</t>
        </is>
      </c>
      <c r="D1654" s="25" t="inlineStr">
        <is>
          <t>Capacitación En Herramientas De Gestión.</t>
        </is>
      </c>
      <c r="E1654" s="26" t="n">
        <v>700</v>
      </c>
      <c r="F1654" s="27">
        <f>E1654/Config!$B$1</f>
        <v/>
      </c>
      <c r="G1654" s="24" t="inlineStr">
        <is>
          <t>Real</t>
        </is>
      </c>
    </row>
    <row r="1655" ht="15" customHeight="1" s="19">
      <c r="A1655" s="24" t="n">
        <v>6798</v>
      </c>
      <c r="B1655" s="25" t="inlineStr">
        <is>
          <t>Talleres y Seminarios</t>
        </is>
      </c>
      <c r="C1655" s="24" t="inlineStr">
        <is>
          <t>Formación y Capacitación</t>
        </is>
      </c>
      <c r="D1655" s="25" t="inlineStr">
        <is>
          <t>Talleres Y Seminarios</t>
        </is>
      </c>
      <c r="E1655" s="26" t="n">
        <v>2900</v>
      </c>
      <c r="F1655" s="27">
        <f>E1655/Config!$B$1</f>
        <v/>
      </c>
      <c r="G1655" s="24" t="inlineStr">
        <is>
          <t>Real</t>
        </is>
      </c>
    </row>
    <row r="1656" ht="15" customHeight="1" s="19">
      <c r="A1656" s="24" t="n">
        <v>6787</v>
      </c>
      <c r="B1656" s="25" t="inlineStr">
        <is>
          <t>Talleres y Seminarios sobre Nuevas Tecnologías</t>
        </is>
      </c>
      <c r="C1656" s="24" t="inlineStr">
        <is>
          <t>Formación y Capacitación</t>
        </is>
      </c>
      <c r="D1656" s="25" t="inlineStr">
        <is>
          <t>Talleres Sobre Nuevas Tecnologías.</t>
        </is>
      </c>
      <c r="E1656" s="26" t="n">
        <v>1800</v>
      </c>
      <c r="F1656" s="27">
        <f>E1656/Config!$B$1</f>
        <v/>
      </c>
      <c r="G1656" s="24" t="inlineStr">
        <is>
          <t>Real</t>
        </is>
      </c>
    </row>
    <row r="1657" ht="15" customHeight="1" s="19">
      <c r="A1657" s="24" t="n">
        <v>5903</v>
      </c>
      <c r="B1657" s="25" t="inlineStr">
        <is>
          <t>Technology Training</t>
        </is>
      </c>
      <c r="C1657" s="24" t="inlineStr">
        <is>
          <t>Formación y Capacitación</t>
        </is>
      </c>
      <c r="D1657" s="25" t="inlineStr">
        <is>
          <t>Formación Tecnológica</t>
        </is>
      </c>
      <c r="E1657" s="26" t="n">
        <v>3000</v>
      </c>
      <c r="F1657" s="27">
        <f>E1657/Config!$B$1</f>
        <v/>
      </c>
      <c r="G1657" s="24" t="inlineStr">
        <is>
          <t>Real</t>
        </is>
      </c>
    </row>
    <row r="1658" ht="15" customHeight="1" s="19">
      <c r="A1658" s="24" t="n">
        <v>7685</v>
      </c>
      <c r="B1658" s="25" t="inlineStr">
        <is>
          <t>Technology Training</t>
        </is>
      </c>
      <c r="C1658" s="24" t="inlineStr">
        <is>
          <t>Formación y Capacitación</t>
        </is>
      </c>
      <c r="D1658" s="25" t="inlineStr">
        <is>
          <t>Formación Tecnológica</t>
        </is>
      </c>
      <c r="E1658" s="26" t="n">
        <v>1700</v>
      </c>
      <c r="F1658" s="27">
        <f>E1658/Config!$B$1</f>
        <v/>
      </c>
      <c r="G1658" s="28" t="inlineStr">
        <is>
          <t>Estimado (mediana de categoría)</t>
        </is>
      </c>
    </row>
    <row r="1659" ht="15" customHeight="1" s="19">
      <c r="A1659" s="24" t="n">
        <v>8032</v>
      </c>
      <c r="B1659" s="25" t="inlineStr">
        <is>
          <t>Traducción e interpretación</t>
        </is>
      </c>
      <c r="C1659" s="24" t="inlineStr">
        <is>
          <t>Formación y Capacitación</t>
        </is>
      </c>
      <c r="D1659" s="25" t="inlineStr">
        <is>
          <t>Servicios De Traducción E Interpretación Multilingüe.</t>
        </is>
      </c>
      <c r="E1659" s="26" t="n">
        <v>1700</v>
      </c>
      <c r="F1659" s="27">
        <f>E1659/Config!$B$1</f>
        <v/>
      </c>
      <c r="G1659" s="28" t="inlineStr">
        <is>
          <t>Estimado (mediana de categoría)</t>
        </is>
      </c>
    </row>
    <row r="1660" ht="15" customHeight="1" s="19">
      <c r="A1660" s="24" t="n">
        <v>7802</v>
      </c>
      <c r="B1660" s="25" t="inlineStr">
        <is>
          <t>Transformación organizacional y desarrollo digital</t>
        </is>
      </c>
      <c r="C1660" s="24" t="inlineStr">
        <is>
          <t>Formación y Capacitación</t>
        </is>
      </c>
      <c r="D1660" s="25" t="inlineStr">
        <is>
          <t>Transformación Organizacional Y Desarrollo Digital.</t>
        </is>
      </c>
      <c r="E1660" s="26" t="n">
        <v>1700</v>
      </c>
      <c r="F1660" s="27">
        <f>E1660/Config!$B$1</f>
        <v/>
      </c>
      <c r="G1660" s="28" t="inlineStr">
        <is>
          <t>Estimado (mediana de categoría)</t>
        </is>
      </c>
    </row>
    <row r="1661" ht="15" customHeight="1" s="19">
      <c r="A1661" s="24" t="n">
        <v>6801</v>
      </c>
      <c r="B1661" s="25" t="inlineStr">
        <is>
          <t>Workshops and Seminars</t>
        </is>
      </c>
      <c r="C1661" s="24" t="inlineStr">
        <is>
          <t>Formación y Capacitación</t>
        </is>
      </c>
      <c r="D1661" s="25" t="inlineStr">
        <is>
          <t>Talleres Y Seminarios</t>
        </is>
      </c>
      <c r="E1661" s="26" t="n">
        <v>750</v>
      </c>
      <c r="F1661" s="27">
        <f>E1661/Config!$B$1</f>
        <v/>
      </c>
      <c r="G1661" s="24" t="inlineStr">
        <is>
          <t>Real</t>
        </is>
      </c>
    </row>
    <row r="1662" ht="15" customHeight="1" s="19">
      <c r="A1662" s="24" t="n">
        <v>5884</v>
      </c>
      <c r="B1662" s="25" t="inlineStr">
        <is>
          <t>Advanced SEO Package</t>
        </is>
      </c>
      <c r="C1662" s="24" t="inlineStr">
        <is>
          <t>Marketing Digital</t>
        </is>
      </c>
      <c r="D1662" s="25" t="inlineStr">
        <is>
          <t>Seo Avanzado</t>
        </is>
      </c>
      <c r="E1662" s="26" t="n">
        <v>4000</v>
      </c>
      <c r="F1662" s="27">
        <f>E1662/Config!$B$1</f>
        <v/>
      </c>
      <c r="G1662" s="24" t="inlineStr">
        <is>
          <t>Real</t>
        </is>
      </c>
    </row>
    <row r="1663" ht="15" customHeight="1" s="19">
      <c r="A1663" s="24" t="n">
        <v>7666</v>
      </c>
      <c r="B1663" s="25" t="inlineStr">
        <is>
          <t>Advanced SEO Package</t>
        </is>
      </c>
      <c r="C1663" s="24" t="inlineStr">
        <is>
          <t>Marketing Digital</t>
        </is>
      </c>
      <c r="D1663" s="25" t="inlineStr">
        <is>
          <t>Seo Avanzado</t>
        </is>
      </c>
      <c r="E1663" s="26" t="n">
        <v>1200</v>
      </c>
      <c r="F1663" s="27">
        <f>E1663/Config!$B$1</f>
        <v/>
      </c>
      <c r="G1663" s="28" t="inlineStr">
        <is>
          <t>Estimado (mediana de categoría)</t>
        </is>
      </c>
    </row>
    <row r="1664" ht="15" customHeight="1" s="19">
      <c r="A1664" s="24" t="n">
        <v>6180</v>
      </c>
      <c r="B1664" s="25" t="inlineStr">
        <is>
          <t>Algoritmos de Marketing Digital</t>
        </is>
      </c>
      <c r="C1664" s="24" t="inlineStr">
        <is>
          <t>Marketing Digital</t>
        </is>
      </c>
      <c r="D1664" s="25" t="inlineStr">
        <is>
          <t>Optimización De Marketing Con Ia</t>
        </is>
      </c>
      <c r="E1664" s="26" t="n">
        <v>90</v>
      </c>
      <c r="F1664" s="27">
        <f>E1664/Config!$B$1</f>
        <v/>
      </c>
      <c r="G1664" s="24" t="inlineStr">
        <is>
          <t>Real</t>
        </is>
      </c>
    </row>
    <row r="1665" ht="15" customHeight="1" s="19">
      <c r="A1665" s="24" t="n">
        <v>7904</v>
      </c>
      <c r="B1665" s="25" t="inlineStr">
        <is>
          <t>Algoritmos de Marketing Digital</t>
        </is>
      </c>
      <c r="C1665" s="24" t="inlineStr">
        <is>
          <t>Marketing Digital</t>
        </is>
      </c>
      <c r="D1665" s="25" t="inlineStr">
        <is>
          <t>Optimización De Marketing Con Ia</t>
        </is>
      </c>
      <c r="E1665" s="26" t="n">
        <v>1200</v>
      </c>
      <c r="F1665" s="27">
        <f>E1665/Config!$B$1</f>
        <v/>
      </c>
      <c r="G1665" s="28" t="inlineStr">
        <is>
          <t>Estimado (mediana de categoría)</t>
        </is>
      </c>
    </row>
    <row r="1666" ht="23.25" customHeight="1" s="19">
      <c r="A1666" s="24" t="n">
        <v>6508</v>
      </c>
      <c r="B1666" s="25" t="inlineStr">
        <is>
          <t>Animación 2D</t>
        </is>
      </c>
      <c r="C1666" s="24" t="inlineStr">
        <is>
          <t>Marketing Digital</t>
        </is>
      </c>
      <c r="D1666" s="25" t="inlineStr">
        <is>
          <t>Producción De Animaciones 2D Para Comunicar Mensajes De Marca De Manera Creativa.</t>
        </is>
      </c>
      <c r="E1666" s="26" t="n">
        <v>1000</v>
      </c>
      <c r="F1666" s="27">
        <f>E1666/Config!$B$1</f>
        <v/>
      </c>
      <c r="G1666" s="24" t="inlineStr">
        <is>
          <t>Real</t>
        </is>
      </c>
    </row>
    <row r="1667" ht="23.25" customHeight="1" s="19">
      <c r="A1667" s="24" t="n">
        <v>8210</v>
      </c>
      <c r="B1667" s="25" t="inlineStr">
        <is>
          <t>Animación 2D</t>
        </is>
      </c>
      <c r="C1667" s="24" t="inlineStr">
        <is>
          <t>Marketing Digital</t>
        </is>
      </c>
      <c r="D1667" s="25" t="inlineStr">
        <is>
          <t>Producción De Animaciones 2D Para Comunicar Mensajes De Marca De Manera Creativa.</t>
        </is>
      </c>
      <c r="E1667" s="26" t="n">
        <v>1200</v>
      </c>
      <c r="F1667" s="27">
        <f>E1667/Config!$B$1</f>
        <v/>
      </c>
      <c r="G1667" s="28" t="inlineStr">
        <is>
          <t>Estimado (mediana de categoría)</t>
        </is>
      </c>
    </row>
    <row r="1668" ht="23.25" customHeight="1" s="19">
      <c r="A1668" s="24" t="n">
        <v>6525</v>
      </c>
      <c r="B1668" s="25" t="inlineStr">
        <is>
          <t>Animación 3D</t>
        </is>
      </c>
      <c r="C1668" s="24" t="inlineStr">
        <is>
          <t>Marketing Digital</t>
        </is>
      </c>
      <c r="D1668" s="25" t="inlineStr">
        <is>
          <t>Servicio De Producción De Animaciones 3D Fílmicas Y Para Medios Interactivos.</t>
        </is>
      </c>
      <c r="E1668" s="26" t="n">
        <v>3500</v>
      </c>
      <c r="F1668" s="27">
        <f>E1668/Config!$B$1</f>
        <v/>
      </c>
      <c r="G1668" s="24" t="inlineStr">
        <is>
          <t>Real</t>
        </is>
      </c>
    </row>
    <row r="1669" ht="23.25" customHeight="1" s="19">
      <c r="A1669" s="24" t="n">
        <v>8227</v>
      </c>
      <c r="B1669" s="25" t="inlineStr">
        <is>
          <t>Animación 3D</t>
        </is>
      </c>
      <c r="C1669" s="24" t="inlineStr">
        <is>
          <t>Marketing Digital</t>
        </is>
      </c>
      <c r="D1669" s="25" t="inlineStr">
        <is>
          <t>Servicio De Producción De Animaciones 3D Fílmicas Y Para Medios Interactivos.</t>
        </is>
      </c>
      <c r="E1669" s="26" t="n">
        <v>1200</v>
      </c>
      <c r="F1669" s="27">
        <f>E1669/Config!$B$1</f>
        <v/>
      </c>
      <c r="G1669" s="28" t="inlineStr">
        <is>
          <t>Estimado (mediana de categoría)</t>
        </is>
      </c>
    </row>
    <row r="1670" ht="15" customHeight="1" s="19">
      <c r="A1670" s="24" t="n">
        <v>6184</v>
      </c>
      <c r="B1670" s="25" t="inlineStr">
        <is>
          <t>Análisis De Datos De Marketing</t>
        </is>
      </c>
      <c r="C1670" s="24" t="inlineStr">
        <is>
          <t>Marketing Digital</t>
        </is>
      </c>
      <c r="D1670" s="25" t="inlineStr">
        <is>
          <t>Análisis De Marketing Con Ia</t>
        </is>
      </c>
      <c r="E1670" s="26" t="n">
        <v>200</v>
      </c>
      <c r="F1670" s="27">
        <f>E1670/Config!$B$1</f>
        <v/>
      </c>
      <c r="G1670" s="24" t="inlineStr">
        <is>
          <t>Real</t>
        </is>
      </c>
    </row>
    <row r="1671" ht="23.25" customHeight="1" s="19">
      <c r="A1671" s="24" t="n">
        <v>6539</v>
      </c>
      <c r="B1671" s="25" t="inlineStr">
        <is>
          <t>Análisis SEO: Auditoría y Optimización para tu E-commerce</t>
        </is>
      </c>
      <c r="C1671" s="24" t="inlineStr">
        <is>
          <t>Marketing Digital</t>
        </is>
      </c>
      <c r="D1671" s="25" t="inlineStr">
        <is>
          <t>Servicio de análisis y auditoría SEO para e-commerce.</t>
        </is>
      </c>
      <c r="E1671" s="26" t="n">
        <v>800</v>
      </c>
      <c r="F1671" s="27">
        <f>E1671/Config!$B$1</f>
        <v/>
      </c>
      <c r="G1671" s="24" t="inlineStr">
        <is>
          <t>Real</t>
        </is>
      </c>
    </row>
    <row r="1672" ht="45.75" customHeight="1" s="19">
      <c r="A1672" s="24" t="n">
        <v>8241</v>
      </c>
      <c r="B1672" s="25" t="inlineStr">
        <is>
          <t>Análisis SEO: Auditoría y Optimización para tu E-commerce</t>
        </is>
      </c>
      <c r="C1672" s="24" t="inlineStr">
        <is>
          <t>Marketing Digital</t>
        </is>
      </c>
      <c r="D1672" s="25" t="inlineStr">
        <is>
          <t>Análisis SEO: Auditoría y Optimización para tu E-commerce. Servicio para potenciar tu presencia online, aumentar ventas y mejorar visibilidad en buscadores.</t>
        </is>
      </c>
      <c r="E1672" s="26" t="n">
        <v>1200</v>
      </c>
      <c r="F1672" s="27">
        <f>E1672/Config!$B$1</f>
        <v/>
      </c>
      <c r="G1672" s="28" t="inlineStr">
        <is>
          <t>Estimado (mediana de categoría)</t>
        </is>
      </c>
    </row>
    <row r="1673" ht="23.25" customHeight="1" s="19">
      <c r="A1673" s="24" t="n">
        <v>6284</v>
      </c>
      <c r="B1673" s="25" t="inlineStr">
        <is>
          <t>Análisis de Atribución de Marketing con IA</t>
        </is>
      </c>
      <c r="C1673" s="24" t="inlineStr">
        <is>
          <t>Marketing Digital</t>
        </is>
      </c>
      <c r="D1673" s="25" t="inlineStr">
        <is>
          <t>Solución De Análisis De Atribución De Marketing Con Ia</t>
        </is>
      </c>
      <c r="E1673" s="26" t="n">
        <v>199</v>
      </c>
      <c r="F1673" s="27">
        <f>E1673/Config!$B$1</f>
        <v/>
      </c>
      <c r="G1673" s="24" t="inlineStr">
        <is>
          <t>Real</t>
        </is>
      </c>
    </row>
    <row r="1674" ht="23.25" customHeight="1" s="19">
      <c r="A1674" s="24" t="n">
        <v>7997</v>
      </c>
      <c r="B1674" s="25" t="inlineStr">
        <is>
          <t>Análisis de Atribución de Marketing con IA</t>
        </is>
      </c>
      <c r="C1674" s="24" t="inlineStr">
        <is>
          <t>Marketing Digital</t>
        </is>
      </c>
      <c r="D1674" s="25" t="inlineStr">
        <is>
          <t>Solución De Análisis De Atribución De Marketing Con Ia</t>
        </is>
      </c>
      <c r="E1674" s="26" t="n">
        <v>1200</v>
      </c>
      <c r="F1674" s="27">
        <f>E1674/Config!$B$1</f>
        <v/>
      </c>
      <c r="G1674" s="28" t="inlineStr">
        <is>
          <t>Estimado (mediana de categoría)</t>
        </is>
      </c>
    </row>
    <row r="1675" ht="23.25" customHeight="1" s="19">
      <c r="A1675" s="24" t="n">
        <v>7805</v>
      </c>
      <c r="B1675" s="25" t="inlineStr">
        <is>
          <t>Análisis de sentimientos y reputación en redes sociales</t>
        </is>
      </c>
      <c r="C1675" s="24" t="inlineStr">
        <is>
          <t>Marketing Digital</t>
        </is>
      </c>
      <c r="D1675" s="25" t="inlineStr">
        <is>
          <t>Análisis De Sentimientos Y Gestión De La Reputación En Redes Sociales.</t>
        </is>
      </c>
      <c r="E1675" s="26" t="n">
        <v>1200</v>
      </c>
      <c r="F1675" s="27">
        <f>E1675/Config!$B$1</f>
        <v/>
      </c>
      <c r="G1675" s="28" t="inlineStr">
        <is>
          <t>Estimado (mediana de categoría)</t>
        </is>
      </c>
    </row>
    <row r="1676" ht="15" customHeight="1" s="19">
      <c r="A1676" s="24" t="n">
        <v>6750</v>
      </c>
      <c r="B1676" s="25" t="inlineStr">
        <is>
          <t>Auditoría SEO</t>
        </is>
      </c>
      <c r="C1676" s="24" t="inlineStr">
        <is>
          <t>Marketing Digital</t>
        </is>
      </c>
      <c r="D1676" s="25" t="inlineStr">
        <is>
          <t>Auditoría De Seo</t>
        </is>
      </c>
      <c r="E1676" s="26" t="n">
        <v>700</v>
      </c>
      <c r="F1676" s="27">
        <f>E1676/Config!$B$1</f>
        <v/>
      </c>
      <c r="G1676" s="24" t="inlineStr">
        <is>
          <t>Real</t>
        </is>
      </c>
    </row>
    <row r="1677" ht="23.25" customHeight="1" s="19">
      <c r="A1677" s="24" t="n">
        <v>6493</v>
      </c>
      <c r="B1677" s="25" t="inlineStr">
        <is>
          <t>Auditoría de SEO</t>
        </is>
      </c>
      <c r="C1677" s="24" t="inlineStr">
        <is>
          <t>Marketing Digital</t>
        </is>
      </c>
      <c r="D1677" s="25" t="inlineStr">
        <is>
          <t>Evaluación Y Optimización Del Posicionamiento En Buscadores.</t>
        </is>
      </c>
      <c r="E1677" s="26" t="n">
        <v>800</v>
      </c>
      <c r="F1677" s="27">
        <f>E1677/Config!$B$1</f>
        <v/>
      </c>
      <c r="G1677" s="24" t="inlineStr">
        <is>
          <t>Real</t>
        </is>
      </c>
    </row>
    <row r="1678" ht="23.25" customHeight="1" s="19">
      <c r="A1678" s="24" t="n">
        <v>8195</v>
      </c>
      <c r="B1678" s="25" t="inlineStr">
        <is>
          <t>Auditoría de SEO</t>
        </is>
      </c>
      <c r="C1678" s="24" t="inlineStr">
        <is>
          <t>Marketing Digital</t>
        </is>
      </c>
      <c r="D1678" s="25" t="inlineStr">
        <is>
          <t>Evaluación Y Optimización Del Posicionamiento En Buscadores.</t>
        </is>
      </c>
      <c r="E1678" s="26" t="n">
        <v>1200</v>
      </c>
      <c r="F1678" s="27">
        <f>E1678/Config!$B$1</f>
        <v/>
      </c>
      <c r="G1678" s="28" t="inlineStr">
        <is>
          <t>Estimado (mediana de categoría)</t>
        </is>
      </c>
    </row>
    <row r="1679" ht="15" customHeight="1" s="19">
      <c r="A1679" s="24" t="n">
        <v>5897</v>
      </c>
      <c r="B1679" s="25" t="inlineStr">
        <is>
          <t>Automated Email Marketing</t>
        </is>
      </c>
      <c r="C1679" s="24" t="inlineStr">
        <is>
          <t>Marketing Digital</t>
        </is>
      </c>
      <c r="D1679" s="25" t="inlineStr">
        <is>
          <t>Email Marketing Automatizado</t>
        </is>
      </c>
      <c r="E1679" s="26" t="n">
        <v>2500</v>
      </c>
      <c r="F1679" s="27">
        <f>E1679/Config!$B$1</f>
        <v/>
      </c>
      <c r="G1679" s="24" t="inlineStr">
        <is>
          <t>Real</t>
        </is>
      </c>
    </row>
    <row r="1680" ht="15" customHeight="1" s="19">
      <c r="A1680" s="24" t="n">
        <v>7679</v>
      </c>
      <c r="B1680" s="25" t="inlineStr">
        <is>
          <t>Automated Email Marketing</t>
        </is>
      </c>
      <c r="C1680" s="24" t="inlineStr">
        <is>
          <t>Marketing Digital</t>
        </is>
      </c>
      <c r="D1680" s="25" t="inlineStr">
        <is>
          <t>Email Marketing Automatizado</t>
        </is>
      </c>
      <c r="E1680" s="26" t="n">
        <v>1200</v>
      </c>
      <c r="F1680" s="27">
        <f>E1680/Config!$B$1</f>
        <v/>
      </c>
      <c r="G1680" s="28" t="inlineStr">
        <is>
          <t>Estimado (mediana de categoría)</t>
        </is>
      </c>
    </row>
    <row r="1681" ht="15" customHeight="1" s="19">
      <c r="A1681" s="24" t="n">
        <v>6158</v>
      </c>
      <c r="B1681" s="25" t="inlineStr">
        <is>
          <t>Automatización de Campañas de Marketing</t>
        </is>
      </c>
      <c r="C1681" s="24" t="inlineStr">
        <is>
          <t>Marketing Digital</t>
        </is>
      </c>
      <c r="D1681" s="25" t="inlineStr">
        <is>
          <t>Automatización De Marketing</t>
        </is>
      </c>
      <c r="E1681" s="26" t="n">
        <v>7500</v>
      </c>
      <c r="F1681" s="27">
        <f>E1681/Config!$B$1</f>
        <v/>
      </c>
      <c r="G1681" s="24" t="inlineStr">
        <is>
          <t>Real</t>
        </is>
      </c>
    </row>
    <row r="1682" ht="15" customHeight="1" s="19">
      <c r="A1682" s="24" t="n">
        <v>7882</v>
      </c>
      <c r="B1682" s="25" t="inlineStr">
        <is>
          <t>Automatización de Campañas de Marketing</t>
        </is>
      </c>
      <c r="C1682" s="24" t="inlineStr">
        <is>
          <t>Marketing Digital</t>
        </is>
      </c>
      <c r="D1682" s="25" t="inlineStr">
        <is>
          <t>Automatización De Marketing</t>
        </is>
      </c>
      <c r="E1682" s="26" t="n">
        <v>1200</v>
      </c>
      <c r="F1682" s="27">
        <f>E1682/Config!$B$1</f>
        <v/>
      </c>
      <c r="G1682" s="28" t="inlineStr">
        <is>
          <t>Estimado (mediana de categoría)</t>
        </is>
      </c>
    </row>
    <row r="1683" ht="15" customHeight="1" s="19">
      <c r="A1683" s="24" t="n">
        <v>5953</v>
      </c>
      <c r="B1683" s="25" t="inlineStr">
        <is>
          <t>Automatización de Marketing</t>
        </is>
      </c>
      <c r="C1683" s="24" t="inlineStr">
        <is>
          <t>Marketing Digital</t>
        </is>
      </c>
      <c r="D1683" s="25" t="inlineStr">
        <is>
          <t>Automatización De Marketing</t>
        </is>
      </c>
      <c r="E1683" s="26" t="n">
        <v>1200</v>
      </c>
      <c r="F1683" s="27">
        <f>E1683/Config!$B$1</f>
        <v/>
      </c>
      <c r="G1683" s="28" t="inlineStr">
        <is>
          <t>Estimado (mediana de categoría)</t>
        </is>
      </c>
    </row>
    <row r="1684" ht="23.25" customHeight="1" s="19">
      <c r="A1684" s="24" t="n">
        <v>8338</v>
      </c>
      <c r="B1684" s="25" t="inlineStr">
        <is>
          <t>Automatización de Marketing con IA</t>
        </is>
      </c>
      <c r="C1684" s="24" t="inlineStr">
        <is>
          <t>Marketing Digital</t>
        </is>
      </c>
      <c r="D1684" s="25" t="inlineStr">
        <is>
          <t>Automatización De Procesos De Marketing Utilizando Ia.</t>
        </is>
      </c>
      <c r="E1684" s="26" t="n">
        <v>1200</v>
      </c>
      <c r="F1684" s="27">
        <f>E1684/Config!$B$1</f>
        <v/>
      </c>
      <c r="G1684" s="28" t="inlineStr">
        <is>
          <t>Estimado (mediana de categoría)</t>
        </is>
      </c>
    </row>
    <row r="1685" ht="15" customHeight="1" s="19">
      <c r="A1685" s="24" t="n">
        <v>7576</v>
      </c>
      <c r="B1685" s="25" t="inlineStr">
        <is>
          <t>Automatización de campañas de marketing con IA</t>
        </is>
      </c>
      <c r="C1685" s="24" t="inlineStr">
        <is>
          <t>Marketing Digital</t>
        </is>
      </c>
      <c r="D1685" s="25" t="inlineStr">
        <is>
          <t>Marketing Automatizado Con Ia</t>
        </is>
      </c>
      <c r="E1685" s="26" t="n">
        <v>495</v>
      </c>
      <c r="F1685" s="27">
        <f>E1685/Config!$B$1</f>
        <v/>
      </c>
      <c r="G1685" s="24" t="inlineStr">
        <is>
          <t>Real</t>
        </is>
      </c>
    </row>
    <row r="1686" ht="34.5" customHeight="1" s="19">
      <c r="A1686" s="24" t="n">
        <v>6534</v>
      </c>
      <c r="B1686" s="25" t="inlineStr">
        <is>
          <t>Campaña de Facebook Ads: Diseña, implementa y gestiona tu publicidad en Facebook</t>
        </is>
      </c>
      <c r="C1686" s="24" t="inlineStr">
        <is>
          <t>Marketing Digital</t>
        </is>
      </c>
      <c r="D1686" s="25" t="inlineStr">
        <is>
          <t>Servicio de publicidad en Facebook Ads para llegar a tu público objetivo, generar clientes potenciales y aumentar las ventas.</t>
        </is>
      </c>
      <c r="E1686" s="26" t="n">
        <v>1000</v>
      </c>
      <c r="F1686" s="27">
        <f>E1686/Config!$B$1</f>
        <v/>
      </c>
      <c r="G1686" s="24" t="inlineStr">
        <is>
          <t>Real</t>
        </is>
      </c>
    </row>
    <row r="1687" ht="45.75" customHeight="1" s="19">
      <c r="A1687" s="24" t="n">
        <v>8236</v>
      </c>
      <c r="B1687" s="25" t="inlineStr">
        <is>
          <t>Campaña de Facebook Ads: Diseña, implementa y gestiona tu publicidad en Facebook para impulsar tu negocio</t>
        </is>
      </c>
      <c r="C1687" s="24" t="inlineStr">
        <is>
          <t>Marketing Digital</t>
        </is>
      </c>
      <c r="D1687" s="25" t="inlineStr">
        <is>
          <t>Campaña de Facebook Ads: Diseña, implementa y gestiona tu publicidad en Facebook para llegar a tu público objetivo, generar clientes potenciales y aumentar las ventas.</t>
        </is>
      </c>
      <c r="E1687" s="26" t="n">
        <v>1200</v>
      </c>
      <c r="F1687" s="27">
        <f>E1687/Config!$B$1</f>
        <v/>
      </c>
      <c r="G1687" s="28" t="inlineStr">
        <is>
          <t>Estimado (mediana de categoría)</t>
        </is>
      </c>
    </row>
    <row r="1688" ht="23.25" customHeight="1" s="19">
      <c r="A1688" s="24" t="n">
        <v>6533</v>
      </c>
      <c r="B1688" s="25" t="inlineStr">
        <is>
          <t>Campaña de Google Ads: Impulsa tu negocio con publicidad efectiva en Google</t>
        </is>
      </c>
      <c r="C1688" s="24" t="inlineStr">
        <is>
          <t>Marketing Digital</t>
        </is>
      </c>
      <c r="D1688" s="25" t="inlineStr">
        <is>
          <t>Campaña de Google Ads: Impulsa tu negocio a nuevas alturas</t>
        </is>
      </c>
      <c r="E1688" s="26" t="n">
        <v>1200</v>
      </c>
      <c r="F1688" s="27">
        <f>E1688/Config!$B$1</f>
        <v/>
      </c>
      <c r="G1688" s="24" t="inlineStr">
        <is>
          <t>Real</t>
        </is>
      </c>
    </row>
    <row r="1689" ht="23.25" customHeight="1" s="19">
      <c r="A1689" s="24" t="n">
        <v>8235</v>
      </c>
      <c r="B1689" s="25" t="inlineStr">
        <is>
          <t>Campaña de Google Ads: Impulsa tu negocio con publicidad efectiva en Google</t>
        </is>
      </c>
      <c r="C1689" s="24" t="inlineStr">
        <is>
          <t>Marketing Digital</t>
        </is>
      </c>
      <c r="D1689" s="25" t="inlineStr">
        <is>
          <t>Campaña de Google Ads: Impulsa tu negocio con publicidad efectiva en Google</t>
        </is>
      </c>
      <c r="E1689" s="26" t="n">
        <v>1200</v>
      </c>
      <c r="F1689" s="27">
        <f>E1689/Config!$B$1</f>
        <v/>
      </c>
      <c r="G1689" s="28" t="inlineStr">
        <is>
          <t>Estimado (mediana de categoría)</t>
        </is>
      </c>
    </row>
    <row r="1690" ht="23.25" customHeight="1" s="19">
      <c r="A1690" s="24" t="n">
        <v>6535</v>
      </c>
      <c r="B1690" s="25" t="inlineStr">
        <is>
          <t>Campaña de Remarketing: Recupera clientes potenciales y aumenta tus ventas</t>
        </is>
      </c>
      <c r="C1690" s="24" t="inlineStr">
        <is>
          <t>Marketing Digital</t>
        </is>
      </c>
      <c r="D1690" s="25" t="inlineStr">
        <is>
          <t>Servicio de Campaña de Remarketing para Ecommerce</t>
        </is>
      </c>
      <c r="E1690" s="26" t="n">
        <v>900</v>
      </c>
      <c r="F1690" s="27">
        <f>E1690/Config!$B$1</f>
        <v/>
      </c>
      <c r="G1690" s="24" t="inlineStr">
        <is>
          <t>Real</t>
        </is>
      </c>
    </row>
    <row r="1691" ht="23.25" customHeight="1" s="19">
      <c r="A1691" s="24" t="n">
        <v>8237</v>
      </c>
      <c r="B1691" s="25" t="inlineStr">
        <is>
          <t>Campaña de Remarketing: Recupera clientes y dispara tus ventas</t>
        </is>
      </c>
      <c r="C1691" s="24" t="inlineStr">
        <is>
          <t>Marketing Digital</t>
        </is>
      </c>
      <c r="D1691" s="25" t="inlineStr">
        <is>
          <t>Campaña de Remarketing para Ecommerce: Recupera clientes potenciales y aumenta tus ventas</t>
        </is>
      </c>
      <c r="E1691" s="26" t="n">
        <v>1200</v>
      </c>
      <c r="F1691" s="27">
        <f>E1691/Config!$B$1</f>
        <v/>
      </c>
      <c r="G1691" s="28" t="inlineStr">
        <is>
          <t>Estimado (mediana de categoría)</t>
        </is>
      </c>
    </row>
    <row r="1692" ht="23.25" customHeight="1" s="19">
      <c r="A1692" s="24" t="n">
        <v>6476</v>
      </c>
      <c r="B1692" s="25" t="inlineStr">
        <is>
          <t>Campaña de email marketing</t>
        </is>
      </c>
      <c r="C1692" s="24" t="inlineStr">
        <is>
          <t>Marketing Digital</t>
        </is>
      </c>
      <c r="D1692" s="25" t="inlineStr">
        <is>
          <t>Servicio De Email Marketing Para Campañas Efectivas.</t>
        </is>
      </c>
      <c r="E1692" s="26" t="n">
        <v>500</v>
      </c>
      <c r="F1692" s="27">
        <f>E1692/Config!$B$1</f>
        <v/>
      </c>
      <c r="G1692" s="24" t="inlineStr">
        <is>
          <t>Real</t>
        </is>
      </c>
    </row>
    <row r="1693" ht="23.25" customHeight="1" s="19">
      <c r="A1693" s="24" t="n">
        <v>8186</v>
      </c>
      <c r="B1693" s="25" t="inlineStr">
        <is>
          <t>Campaña de email marketing</t>
        </is>
      </c>
      <c r="C1693" s="24" t="inlineStr">
        <is>
          <t>Marketing Digital</t>
        </is>
      </c>
      <c r="D1693" s="25" t="inlineStr">
        <is>
          <t>Servicio De Email Marketing Para Campañas Efectivas.</t>
        </is>
      </c>
      <c r="E1693" s="26" t="n">
        <v>1200</v>
      </c>
      <c r="F1693" s="27">
        <f>E1693/Config!$B$1</f>
        <v/>
      </c>
      <c r="G1693" s="28" t="inlineStr">
        <is>
          <t>Estimado (mediana de categoría)</t>
        </is>
      </c>
    </row>
    <row r="1694" ht="23.25" customHeight="1" s="19">
      <c r="A1694" s="24" t="n">
        <v>6332</v>
      </c>
      <c r="B1694" s="25" t="inlineStr">
        <is>
          <t>Campaña de publicidad</t>
        </is>
      </c>
      <c r="C1694" s="24" t="inlineStr">
        <is>
          <t>Marketing Digital</t>
        </is>
      </c>
      <c r="D1694" s="25" t="inlineStr">
        <is>
          <t>Servicios De Planificación, Creación Y Ejecución De Campañas Publicitarias.</t>
        </is>
      </c>
      <c r="E1694" s="26" t="n">
        <v>5400</v>
      </c>
      <c r="F1694" s="27">
        <f>E1694/Config!$B$1</f>
        <v/>
      </c>
      <c r="G1694" s="24" t="inlineStr">
        <is>
          <t>Real</t>
        </is>
      </c>
    </row>
    <row r="1695" ht="23.25" customHeight="1" s="19">
      <c r="A1695" s="24" t="n">
        <v>8043</v>
      </c>
      <c r="B1695" s="25" t="inlineStr">
        <is>
          <t>Campaña de publicidad</t>
        </is>
      </c>
      <c r="C1695" s="24" t="inlineStr">
        <is>
          <t>Marketing Digital</t>
        </is>
      </c>
      <c r="D1695" s="25" t="inlineStr">
        <is>
          <t>Servicios De Planificación, Creación Y Ejecución De Campañas Publicitarias.</t>
        </is>
      </c>
      <c r="E1695" s="26" t="n">
        <v>1200</v>
      </c>
      <c r="F1695" s="27">
        <f>E1695/Config!$B$1</f>
        <v/>
      </c>
      <c r="G1695" s="28" t="inlineStr">
        <is>
          <t>Estimado (mediana de categoría)</t>
        </is>
      </c>
    </row>
    <row r="1696" ht="23.25" customHeight="1" s="19">
      <c r="A1696" s="24" t="n">
        <v>6514</v>
      </c>
      <c r="B1696" s="25" t="inlineStr">
        <is>
          <t>Campaña de publicidad display</t>
        </is>
      </c>
      <c r="C1696" s="24" t="inlineStr">
        <is>
          <t>Marketing Digital</t>
        </is>
      </c>
      <c r="D1696" s="25" t="inlineStr">
        <is>
          <t>Implementación De Campañas De Publicidad Display Para Generar Visibilidad Y Tráfico Web.</t>
        </is>
      </c>
      <c r="E1696" s="26" t="n">
        <v>2000</v>
      </c>
      <c r="F1696" s="27">
        <f>E1696/Config!$B$1</f>
        <v/>
      </c>
      <c r="G1696" s="24" t="inlineStr">
        <is>
          <t>Real</t>
        </is>
      </c>
    </row>
    <row r="1697" ht="23.25" customHeight="1" s="19">
      <c r="A1697" s="24" t="n">
        <v>8216</v>
      </c>
      <c r="B1697" s="25" t="inlineStr">
        <is>
          <t>Campaña de publicidad display</t>
        </is>
      </c>
      <c r="C1697" s="24" t="inlineStr">
        <is>
          <t>Marketing Digital</t>
        </is>
      </c>
      <c r="D1697" s="25" t="inlineStr">
        <is>
          <t>Implementación De Campañas De Publicidad Display Para Generar Visibilidad Y Tráfico Web.</t>
        </is>
      </c>
      <c r="E1697" s="26" t="n">
        <v>1200</v>
      </c>
      <c r="F1697" s="27">
        <f>E1697/Config!$B$1</f>
        <v/>
      </c>
      <c r="G1697" s="28" t="inlineStr">
        <is>
          <t>Estimado (mediana de categoría)</t>
        </is>
      </c>
    </row>
    <row r="1698" ht="23.25" customHeight="1" s="19">
      <c r="A1698" s="24" t="n">
        <v>6492</v>
      </c>
      <c r="B1698" s="25" t="inlineStr">
        <is>
          <t>Campaña de publicidad en redes sociales</t>
        </is>
      </c>
      <c r="C1698" s="24" t="inlineStr">
        <is>
          <t>Marketing Digital</t>
        </is>
      </c>
      <c r="D1698" s="25" t="inlineStr">
        <is>
          <t>Publicidad En Redes Sociales Para Impulsar Marcas Y Productos.</t>
        </is>
      </c>
      <c r="E1698" s="26" t="n">
        <v>1200</v>
      </c>
      <c r="F1698" s="27">
        <f>E1698/Config!$B$1</f>
        <v/>
      </c>
      <c r="G1698" s="24" t="inlineStr">
        <is>
          <t>Real</t>
        </is>
      </c>
    </row>
    <row r="1699" ht="23.25" customHeight="1" s="19">
      <c r="A1699" s="24" t="n">
        <v>8194</v>
      </c>
      <c r="B1699" s="25" t="inlineStr">
        <is>
          <t>Campaña de publicidad en redes sociales</t>
        </is>
      </c>
      <c r="C1699" s="24" t="inlineStr">
        <is>
          <t>Marketing Digital</t>
        </is>
      </c>
      <c r="D1699" s="25" t="inlineStr">
        <is>
          <t>Publicidad En Redes Sociales Para Impulsar Marcas Y Productos.</t>
        </is>
      </c>
      <c r="E1699" s="26" t="n">
        <v>1200</v>
      </c>
      <c r="F1699" s="27">
        <f>E1699/Config!$B$1</f>
        <v/>
      </c>
      <c r="G1699" s="28" t="inlineStr">
        <is>
          <t>Estimado (mediana de categoría)</t>
        </is>
      </c>
    </row>
    <row r="1700" ht="23.25" customHeight="1" s="19">
      <c r="A1700" s="24" t="n">
        <v>6505</v>
      </c>
      <c r="B1700" s="25" t="inlineStr">
        <is>
          <t>Campaña de social media</t>
        </is>
      </c>
      <c r="C1700" s="24" t="inlineStr">
        <is>
          <t>Marketing Digital</t>
        </is>
      </c>
      <c r="D1700" s="25" t="inlineStr">
        <is>
          <t>Ejecución De Campañas De Social Media Para Aumentar La Visibilidad Y Interacción De La Marca.</t>
        </is>
      </c>
      <c r="E1700" s="26" t="n">
        <v>2500</v>
      </c>
      <c r="F1700" s="27">
        <f>E1700/Config!$B$1</f>
        <v/>
      </c>
      <c r="G1700" s="24" t="inlineStr">
        <is>
          <t>Real</t>
        </is>
      </c>
    </row>
    <row r="1701" ht="23.25" customHeight="1" s="19">
      <c r="A1701" s="24" t="n">
        <v>8207</v>
      </c>
      <c r="B1701" s="25" t="inlineStr">
        <is>
          <t>Campaña de social media</t>
        </is>
      </c>
      <c r="C1701" s="24" t="inlineStr">
        <is>
          <t>Marketing Digital</t>
        </is>
      </c>
      <c r="D1701" s="25" t="inlineStr">
        <is>
          <t>Ejecución De Campañas De Social Media Para Aumentar La Visibilidad Y Interacción De La Marca.</t>
        </is>
      </c>
      <c r="E1701" s="26" t="n">
        <v>1200</v>
      </c>
      <c r="F1701" s="27">
        <f>E1701/Config!$B$1</f>
        <v/>
      </c>
      <c r="G1701" s="28" t="inlineStr">
        <is>
          <t>Estimado (mediana de categoría)</t>
        </is>
      </c>
    </row>
    <row r="1702" ht="15" customHeight="1" s="19">
      <c r="A1702" s="24" t="n">
        <v>7559</v>
      </c>
      <c r="B1702" s="25" t="inlineStr">
        <is>
          <t>Campaña publicitaria en Facebook e Instagram</t>
        </is>
      </c>
      <c r="C1702" s="24" t="inlineStr">
        <is>
          <t>Marketing Digital</t>
        </is>
      </c>
      <c r="D1702" s="25" t="inlineStr">
        <is>
          <t>Campaña Publicitaria</t>
        </is>
      </c>
      <c r="E1702" s="26" t="n">
        <v>180</v>
      </c>
      <c r="F1702" s="27">
        <f>E1702/Config!$B$1</f>
        <v/>
      </c>
      <c r="G1702" s="24" t="inlineStr">
        <is>
          <t>Real</t>
        </is>
      </c>
    </row>
    <row r="1703" ht="15" customHeight="1" s="19">
      <c r="A1703" s="24" t="n">
        <v>6809</v>
      </c>
      <c r="B1703" s="25" t="inlineStr">
        <is>
          <t>Campañas SEM</t>
        </is>
      </c>
      <c r="C1703" s="24" t="inlineStr">
        <is>
          <t>Marketing Digital</t>
        </is>
      </c>
      <c r="D1703" s="25" t="inlineStr">
        <is>
          <t>Publicidad En Motores De Búsqueda.</t>
        </is>
      </c>
      <c r="E1703" s="26" t="n">
        <v>1300</v>
      </c>
      <c r="F1703" s="27">
        <f>E1703/Config!$B$1</f>
        <v/>
      </c>
      <c r="G1703" s="24" t="inlineStr">
        <is>
          <t>Real</t>
        </is>
      </c>
    </row>
    <row r="1704" ht="15" customHeight="1" s="19">
      <c r="A1704" s="24" t="n">
        <v>6810</v>
      </c>
      <c r="B1704" s="25" t="inlineStr">
        <is>
          <t>Campañas de Email Marketing</t>
        </is>
      </c>
      <c r="C1704" s="24" t="inlineStr">
        <is>
          <t>Marketing Digital</t>
        </is>
      </c>
      <c r="D1704" s="25" t="inlineStr">
        <is>
          <t>Marketing Por Correo Electrónico.</t>
        </is>
      </c>
      <c r="E1704" s="26" t="n">
        <v>700</v>
      </c>
      <c r="F1704" s="27">
        <f>E1704/Config!$B$1</f>
        <v/>
      </c>
      <c r="G1704" s="24" t="inlineStr">
        <is>
          <t>Real</t>
        </is>
      </c>
    </row>
    <row r="1705" ht="15" customHeight="1" s="19">
      <c r="A1705" s="24" t="n">
        <v>6817</v>
      </c>
      <c r="B1705" s="25" t="inlineStr">
        <is>
          <t>Campañas de Google Ads</t>
        </is>
      </c>
      <c r="C1705" s="24" t="inlineStr">
        <is>
          <t>Marketing Digital</t>
        </is>
      </c>
      <c r="D1705" s="25" t="inlineStr">
        <is>
          <t>Campañas De Google Ads</t>
        </is>
      </c>
      <c r="E1705" s="26" t="n">
        <v>450</v>
      </c>
      <c r="F1705" s="27">
        <f>E1705/Config!$B$1</f>
        <v/>
      </c>
      <c r="G1705" s="24" t="inlineStr">
        <is>
          <t>Real</t>
        </is>
      </c>
    </row>
    <row r="1706" ht="45.75" customHeight="1" s="19">
      <c r="A1706" s="24" t="n">
        <v>8361</v>
      </c>
      <c r="B1706" s="25" t="inlineStr">
        <is>
          <t>Campañas de Marketing para Ecommerce: Atrae y Fideliza Clientes Online</t>
        </is>
      </c>
      <c r="C1706" s="24" t="inlineStr">
        <is>
          <t>Marketing Digital</t>
        </is>
      </c>
      <c r="D1706" s="25" t="inlineStr">
        <is>
          <t>Campañas de Marketing para Ecommerce: Atrae y fideliza clientes en línea con segmentación avanzada, automatización de marketing y análisis para mayor alcance, conversión y fidelidad.</t>
        </is>
      </c>
      <c r="E1706" s="26" t="n">
        <v>1200</v>
      </c>
      <c r="F1706" s="27">
        <f>E1706/Config!$B$1</f>
        <v/>
      </c>
      <c r="G1706" s="28" t="inlineStr">
        <is>
          <t>Estimado (mediana de categoría)</t>
        </is>
      </c>
    </row>
    <row r="1707" ht="23.25" customHeight="1" s="19">
      <c r="A1707" s="24" t="n">
        <v>6660</v>
      </c>
      <c r="B1707" s="25" t="inlineStr">
        <is>
          <t>Campañas de Marketing para Ecommerce: Atrae y Fideliza Clientes en Línea</t>
        </is>
      </c>
      <c r="C1707" s="24" t="inlineStr">
        <is>
          <t>Marketing Digital</t>
        </is>
      </c>
      <c r="D1707" s="25" t="inlineStr">
        <is>
          <t>Campañas de Marketing para Ecommerce: Impulsa tu Negocio Online</t>
        </is>
      </c>
      <c r="E1707" s="26" t="n">
        <v>1500</v>
      </c>
      <c r="F1707" s="27">
        <f>E1707/Config!$B$1</f>
        <v/>
      </c>
      <c r="G1707" s="24" t="inlineStr">
        <is>
          <t>Real</t>
        </is>
      </c>
    </row>
    <row r="1708" ht="15" customHeight="1" s="19">
      <c r="A1708" s="24" t="n">
        <v>6819</v>
      </c>
      <c r="B1708" s="25" t="inlineStr">
        <is>
          <t>Campañas de Redes Sociales</t>
        </is>
      </c>
      <c r="C1708" s="24" t="inlineStr">
        <is>
          <t>Marketing Digital</t>
        </is>
      </c>
      <c r="D1708" s="25" t="inlineStr">
        <is>
          <t>Campañas En Redes Sociales.</t>
        </is>
      </c>
      <c r="E1708" s="26" t="n">
        <v>320</v>
      </c>
      <c r="F1708" s="27">
        <f>E1708/Config!$B$1</f>
        <v/>
      </c>
      <c r="G1708" s="24" t="inlineStr">
        <is>
          <t>Real</t>
        </is>
      </c>
    </row>
    <row r="1709" ht="15" customHeight="1" s="19">
      <c r="A1709" s="24" t="n">
        <v>6812</v>
      </c>
      <c r="B1709" s="25" t="inlineStr">
        <is>
          <t>Campañas de SEM</t>
        </is>
      </c>
      <c r="C1709" s="24" t="inlineStr">
        <is>
          <t>Marketing Digital</t>
        </is>
      </c>
      <c r="D1709" s="25" t="inlineStr">
        <is>
          <t>Gestión De Campañas En Motores De Búsqueda.</t>
        </is>
      </c>
      <c r="E1709" s="26" t="n">
        <v>2700</v>
      </c>
      <c r="F1709" s="27">
        <f>E1709/Config!$B$1</f>
        <v/>
      </c>
      <c r="G1709" s="24" t="inlineStr">
        <is>
          <t>Real</t>
        </is>
      </c>
    </row>
    <row r="1710" ht="15" customHeight="1" s="19">
      <c r="A1710" s="24" t="n">
        <v>6462</v>
      </c>
      <c r="B1710" s="25" t="inlineStr">
        <is>
          <t>Campañas de marketing digital</t>
        </is>
      </c>
      <c r="C1710" s="24" t="inlineStr">
        <is>
          <t>Marketing Digital</t>
        </is>
      </c>
      <c r="D1710" s="25" t="inlineStr">
        <is>
          <t>Servicio Integral De Campañas De Marketing Digital.</t>
        </is>
      </c>
      <c r="E1710" s="26" t="n">
        <v>500</v>
      </c>
      <c r="F1710" s="27">
        <f>E1710/Config!$B$1</f>
        <v/>
      </c>
      <c r="G1710" s="24" t="inlineStr">
        <is>
          <t>Real</t>
        </is>
      </c>
    </row>
    <row r="1711" ht="15" customHeight="1" s="19">
      <c r="A1711" s="24" t="n">
        <v>8173</v>
      </c>
      <c r="B1711" s="25" t="inlineStr">
        <is>
          <t>Campañas de marketing digital</t>
        </is>
      </c>
      <c r="C1711" s="24" t="inlineStr">
        <is>
          <t>Marketing Digital</t>
        </is>
      </c>
      <c r="D1711" s="25" t="inlineStr">
        <is>
          <t>Servicio Integral De Campañas De Marketing Digital.</t>
        </is>
      </c>
      <c r="E1711" s="26" t="n">
        <v>1200</v>
      </c>
      <c r="F1711" s="27">
        <f>E1711/Config!$B$1</f>
        <v/>
      </c>
      <c r="G1711" s="28" t="inlineStr">
        <is>
          <t>Estimado (mediana de categoría)</t>
        </is>
      </c>
    </row>
    <row r="1712" ht="15" customHeight="1" s="19">
      <c r="A1712" s="24" t="n">
        <v>6814</v>
      </c>
      <c r="B1712" s="25" t="inlineStr">
        <is>
          <t>Campañas en Redes Sociales</t>
        </is>
      </c>
      <c r="C1712" s="24" t="inlineStr">
        <is>
          <t>Marketing Digital</t>
        </is>
      </c>
      <c r="D1712" s="25" t="inlineStr">
        <is>
          <t>Campañas En Redes Sociales.</t>
        </is>
      </c>
      <c r="E1712" s="26" t="n">
        <v>1000</v>
      </c>
      <c r="F1712" s="27">
        <f>E1712/Config!$B$1</f>
        <v/>
      </c>
      <c r="G1712" s="24" t="inlineStr">
        <is>
          <t>Real</t>
        </is>
      </c>
    </row>
    <row r="1713" ht="15" customHeight="1" s="19">
      <c r="A1713" s="24" t="n">
        <v>6464</v>
      </c>
      <c r="B1713" s="25" t="inlineStr">
        <is>
          <t>Consultoría de marketing digital</t>
        </is>
      </c>
      <c r="C1713" s="24" t="inlineStr">
        <is>
          <t>Marketing Digital</t>
        </is>
      </c>
      <c r="D1713" s="25" t="inlineStr">
        <is>
          <t>Servicio De Consultoría Integral En Marketing Digital.</t>
        </is>
      </c>
      <c r="E1713" s="26" t="n">
        <v>1500</v>
      </c>
      <c r="F1713" s="27">
        <f>E1713/Config!$B$1</f>
        <v/>
      </c>
      <c r="G1713" s="24" t="inlineStr">
        <is>
          <t>Real</t>
        </is>
      </c>
    </row>
    <row r="1714" ht="15" customHeight="1" s="19">
      <c r="A1714" s="24" t="n">
        <v>8174</v>
      </c>
      <c r="B1714" s="25" t="inlineStr">
        <is>
          <t>Consultoría de marketing digital</t>
        </is>
      </c>
      <c r="C1714" s="24" t="inlineStr">
        <is>
          <t>Marketing Digital</t>
        </is>
      </c>
      <c r="D1714" s="25" t="inlineStr">
        <is>
          <t>Servicio De Consultoría Integral En Marketing Digital.</t>
        </is>
      </c>
      <c r="E1714" s="26" t="n">
        <v>1200</v>
      </c>
      <c r="F1714" s="27">
        <f>E1714/Config!$B$1</f>
        <v/>
      </c>
      <c r="G1714" s="28" t="inlineStr">
        <is>
          <t>Estimado (mediana de categoría)</t>
        </is>
      </c>
    </row>
    <row r="1715" ht="15" customHeight="1" s="19">
      <c r="A1715" s="24" t="n">
        <v>6766</v>
      </c>
      <c r="B1715" s="25" t="inlineStr">
        <is>
          <t>Consultoría en Estrategias de Marketing Digital</t>
        </is>
      </c>
      <c r="C1715" s="24" t="inlineStr">
        <is>
          <t>Marketing Digital</t>
        </is>
      </c>
      <c r="D1715" s="25" t="inlineStr">
        <is>
          <t>Estrategias De Marketing Digital</t>
        </is>
      </c>
      <c r="E1715" s="26" t="n">
        <v>5300</v>
      </c>
      <c r="F1715" s="27">
        <f>E1715/Config!$B$1</f>
        <v/>
      </c>
      <c r="G1715" s="24" t="inlineStr">
        <is>
          <t>Real</t>
        </is>
      </c>
    </row>
    <row r="1716" ht="23.25" customHeight="1" s="19">
      <c r="A1716" s="24" t="n">
        <v>6331</v>
      </c>
      <c r="B1716" s="25" t="inlineStr">
        <is>
          <t>Consultoría en marketing digital</t>
        </is>
      </c>
      <c r="C1716" s="24" t="inlineStr">
        <is>
          <t>Marketing Digital</t>
        </is>
      </c>
      <c r="D1716" s="25" t="inlineStr">
        <is>
          <t>Servicios De Consultoría En Estrategia Y Ejecución De Marketing Digital.</t>
        </is>
      </c>
      <c r="E1716" s="26" t="n">
        <v>3150</v>
      </c>
      <c r="F1716" s="27">
        <f>E1716/Config!$B$1</f>
        <v/>
      </c>
      <c r="G1716" s="24" t="inlineStr">
        <is>
          <t>Real</t>
        </is>
      </c>
    </row>
    <row r="1717" ht="23.25" customHeight="1" s="19">
      <c r="A1717" s="24" t="n">
        <v>8042</v>
      </c>
      <c r="B1717" s="25" t="inlineStr">
        <is>
          <t>Consultoría en marketing digital</t>
        </is>
      </c>
      <c r="C1717" s="24" t="inlineStr">
        <is>
          <t>Marketing Digital</t>
        </is>
      </c>
      <c r="D1717" s="25" t="inlineStr">
        <is>
          <t>Servicios De Consultoría En Estrategia Y Ejecución De Marketing Digital.</t>
        </is>
      </c>
      <c r="E1717" s="26" t="n">
        <v>1200</v>
      </c>
      <c r="F1717" s="27">
        <f>E1717/Config!$B$1</f>
        <v/>
      </c>
      <c r="G1717" s="28" t="inlineStr">
        <is>
          <t>Estimado (mediana de categoría)</t>
        </is>
      </c>
    </row>
    <row r="1718" ht="15" customHeight="1" s="19">
      <c r="A1718" s="24" t="n">
        <v>5895</v>
      </c>
      <c r="B1718" s="25" t="inlineStr">
        <is>
          <t>Content Creation and Management</t>
        </is>
      </c>
      <c r="C1718" s="24" t="inlineStr">
        <is>
          <t>Marketing Digital</t>
        </is>
      </c>
      <c r="D1718" s="25" t="inlineStr">
        <is>
          <t>Gestión De Contenido</t>
        </is>
      </c>
      <c r="E1718" s="26" t="n">
        <v>4000</v>
      </c>
      <c r="F1718" s="27">
        <f>E1718/Config!$B$1</f>
        <v/>
      </c>
      <c r="G1718" s="24" t="inlineStr">
        <is>
          <t>Real</t>
        </is>
      </c>
    </row>
    <row r="1719" ht="15" customHeight="1" s="19">
      <c r="A1719" s="24" t="n">
        <v>7677</v>
      </c>
      <c r="B1719" s="25" t="inlineStr">
        <is>
          <t>Content Creation and Management</t>
        </is>
      </c>
      <c r="C1719" s="24" t="inlineStr">
        <is>
          <t>Marketing Digital</t>
        </is>
      </c>
      <c r="D1719" s="25" t="inlineStr">
        <is>
          <t>Gestión De Contenido</t>
        </is>
      </c>
      <c r="E1719" s="26" t="n">
        <v>1200</v>
      </c>
      <c r="F1719" s="27">
        <f>E1719/Config!$B$1</f>
        <v/>
      </c>
      <c r="G1719" s="28" t="inlineStr">
        <is>
          <t>Estimado (mediana de categoría)</t>
        </is>
      </c>
    </row>
    <row r="1720" ht="23.25" customHeight="1" s="19">
      <c r="A1720" s="24" t="n">
        <v>6528</v>
      </c>
      <c r="B1720" s="25" t="inlineStr">
        <is>
          <t>Copywriting</t>
        </is>
      </c>
      <c r="C1720" s="24" t="inlineStr">
        <is>
          <t>Marketing Digital</t>
        </is>
      </c>
      <c r="D1720" s="25" t="inlineStr">
        <is>
          <t>Servicio De Creación De Contenido Publicitario Y De Marketing.</t>
        </is>
      </c>
      <c r="E1720" s="26" t="n">
        <v>800</v>
      </c>
      <c r="F1720" s="27">
        <f>E1720/Config!$B$1</f>
        <v/>
      </c>
      <c r="G1720" s="24" t="inlineStr">
        <is>
          <t>Real</t>
        </is>
      </c>
    </row>
    <row r="1721" ht="23.25" customHeight="1" s="19">
      <c r="A1721" s="24" t="n">
        <v>8230</v>
      </c>
      <c r="B1721" s="25" t="inlineStr">
        <is>
          <t>Copywriting</t>
        </is>
      </c>
      <c r="C1721" s="24" t="inlineStr">
        <is>
          <t>Marketing Digital</t>
        </is>
      </c>
      <c r="D1721" s="25" t="inlineStr">
        <is>
          <t>Servicio De Creación De Contenido Publicitario Y De Marketing.</t>
        </is>
      </c>
      <c r="E1721" s="26" t="n">
        <v>1200</v>
      </c>
      <c r="F1721" s="27">
        <f>E1721/Config!$B$1</f>
        <v/>
      </c>
      <c r="G1721" s="28" t="inlineStr">
        <is>
          <t>Estimado (mediana de categoría)</t>
        </is>
      </c>
    </row>
    <row r="1722" ht="15" customHeight="1" s="19">
      <c r="A1722" s="24" t="n">
        <v>6820</v>
      </c>
      <c r="B1722" s="25" t="inlineStr">
        <is>
          <t>Creación de Video Spot Publicitario</t>
        </is>
      </c>
      <c r="C1722" s="24" t="inlineStr">
        <is>
          <t>Marketing Digital</t>
        </is>
      </c>
      <c r="D1722" s="25" t="inlineStr">
        <is>
          <t>Video Spot Publicitario</t>
        </is>
      </c>
      <c r="E1722" s="26" t="n">
        <v>1900</v>
      </c>
      <c r="F1722" s="27">
        <f>E1722/Config!$B$1</f>
        <v/>
      </c>
      <c r="G1722" s="24" t="inlineStr">
        <is>
          <t>Real</t>
        </is>
      </c>
    </row>
    <row r="1723" ht="23.25" customHeight="1" s="19">
      <c r="A1723" s="24" t="n">
        <v>6503</v>
      </c>
      <c r="B1723" s="25" t="inlineStr">
        <is>
          <t>Creación de contenido</t>
        </is>
      </c>
      <c r="C1723" s="24" t="inlineStr">
        <is>
          <t>Marketing Digital</t>
        </is>
      </c>
      <c r="D1723" s="25" t="inlineStr">
        <is>
          <t>Desarrollo De Contenidos Estratégicos Para Atraer Y Fidelizar A La Audiencia.</t>
        </is>
      </c>
      <c r="E1723" s="26" t="n">
        <v>1200</v>
      </c>
      <c r="F1723" s="27">
        <f>E1723/Config!$B$1</f>
        <v/>
      </c>
      <c r="G1723" s="24" t="inlineStr">
        <is>
          <t>Real</t>
        </is>
      </c>
    </row>
    <row r="1724" ht="23.25" customHeight="1" s="19">
      <c r="A1724" s="24" t="n">
        <v>8205</v>
      </c>
      <c r="B1724" s="25" t="inlineStr">
        <is>
          <t>Creación de contenido</t>
        </is>
      </c>
      <c r="C1724" s="24" t="inlineStr">
        <is>
          <t>Marketing Digital</t>
        </is>
      </c>
      <c r="D1724" s="25" t="inlineStr">
        <is>
          <t>Desarrollo De Contenidos Estratégicos Para Atraer Y Fidelizar A La Audiencia.</t>
        </is>
      </c>
      <c r="E1724" s="26" t="n">
        <v>1200</v>
      </c>
      <c r="F1724" s="27">
        <f>E1724/Config!$B$1</f>
        <v/>
      </c>
      <c r="G1724" s="28" t="inlineStr">
        <is>
          <t>Estimado (mediana de categoría)</t>
        </is>
      </c>
    </row>
    <row r="1725" ht="15" customHeight="1" s="19">
      <c r="A1725" s="24" t="n">
        <v>6454</v>
      </c>
      <c r="B1725" s="25" t="inlineStr">
        <is>
          <t>Creación de presentaciones</t>
        </is>
      </c>
      <c r="C1725" s="24" t="inlineStr">
        <is>
          <t>Marketing Digital</t>
        </is>
      </c>
      <c r="D1725" s="25" t="inlineStr">
        <is>
          <t>Servicio De Diseño De Presentaciones Profesionales.</t>
        </is>
      </c>
      <c r="E1725" s="26" t="n">
        <v>70</v>
      </c>
      <c r="F1725" s="27">
        <f>E1725/Config!$B$1</f>
        <v/>
      </c>
      <c r="G1725" s="24" t="inlineStr">
        <is>
          <t>Real</t>
        </is>
      </c>
    </row>
    <row r="1726" ht="15" customHeight="1" s="19">
      <c r="A1726" s="24" t="n">
        <v>8165</v>
      </c>
      <c r="B1726" s="25" t="inlineStr">
        <is>
          <t>Creación de presentaciones</t>
        </is>
      </c>
      <c r="C1726" s="24" t="inlineStr">
        <is>
          <t>Marketing Digital</t>
        </is>
      </c>
      <c r="D1726" s="25" t="inlineStr">
        <is>
          <t>Servicio De Diseño De Presentaciones Profesionales.</t>
        </is>
      </c>
      <c r="E1726" s="26" t="n">
        <v>1200</v>
      </c>
      <c r="F1726" s="27">
        <f>E1726/Config!$B$1</f>
        <v/>
      </c>
      <c r="G1726" s="28" t="inlineStr">
        <is>
          <t>Estimado (mediana de categoría)</t>
        </is>
      </c>
    </row>
    <row r="1727" ht="15" customHeight="1" s="19">
      <c r="A1727" s="24" t="n">
        <v>6743</v>
      </c>
      <c r="B1727" s="25" t="inlineStr">
        <is>
          <t>Desarrollo De Estrategias Digitales</t>
        </is>
      </c>
      <c r="C1727" s="24" t="inlineStr">
        <is>
          <t>Marketing Digital</t>
        </is>
      </c>
      <c r="D1727" s="25" t="inlineStr">
        <is>
          <t>Estrategias Digitales Personalizadas.</t>
        </is>
      </c>
      <c r="E1727" s="26" t="n">
        <v>1800</v>
      </c>
      <c r="F1727" s="27">
        <f>E1727/Config!$B$1</f>
        <v/>
      </c>
      <c r="G1727" s="24" t="inlineStr">
        <is>
          <t>Real</t>
        </is>
      </c>
    </row>
    <row r="1728" ht="23.25" customHeight="1" s="19">
      <c r="A1728" s="24" t="n">
        <v>8365</v>
      </c>
      <c r="B1728" s="25" t="inlineStr">
        <is>
          <t>Desarrollo de Contenido para Ecommerce: Impulsa el Engagement y la Experiencia del Cliente</t>
        </is>
      </c>
      <c r="C1728" s="24" t="inlineStr">
        <is>
          <t>Marketing Digital</t>
        </is>
      </c>
      <c r="D1728" s="25" t="inlineStr">
        <is>
          <t>Desarrollo de Contenido para Ecommerce: Mejora el engagement y la experiencia del cliente</t>
        </is>
      </c>
      <c r="E1728" s="26" t="n">
        <v>1200</v>
      </c>
      <c r="F1728" s="27">
        <f>E1728/Config!$B$1</f>
        <v/>
      </c>
      <c r="G1728" s="28" t="inlineStr">
        <is>
          <t>Estimado (mediana de categoría)</t>
        </is>
      </c>
    </row>
    <row r="1729" ht="23.25" customHeight="1" s="19">
      <c r="A1729" s="24" t="n">
        <v>6664</v>
      </c>
      <c r="B1729" s="25" t="inlineStr">
        <is>
          <t>Desarrollo de Contenido para Ecommerce: Mejora el Engagement y la Experiencia del Cliente</t>
        </is>
      </c>
      <c r="C1729" s="24" t="inlineStr">
        <is>
          <t>Marketing Digital</t>
        </is>
      </c>
      <c r="D1729" s="25" t="inlineStr">
        <is>
          <t>Generación De Contenido Para Tiendas Virtuales</t>
        </is>
      </c>
      <c r="E1729" s="26" t="n">
        <v>1000</v>
      </c>
      <c r="F1729" s="27">
        <f>E1729/Config!$B$1</f>
        <v/>
      </c>
      <c r="G1729" s="24" t="inlineStr">
        <is>
          <t>Real</t>
        </is>
      </c>
    </row>
    <row r="1730" ht="15" customHeight="1" s="19">
      <c r="A1730" s="24" t="n">
        <v>6759</v>
      </c>
      <c r="B1730" s="25" t="inlineStr">
        <is>
          <t>Desarrollo de Estrategias de Marketing Digital</t>
        </is>
      </c>
      <c r="C1730" s="24" t="inlineStr">
        <is>
          <t>Marketing Digital</t>
        </is>
      </c>
      <c r="D1730" s="25" t="inlineStr">
        <is>
          <t>Estrategias De Marketing Digital</t>
        </is>
      </c>
      <c r="E1730" s="26" t="n">
        <v>3700</v>
      </c>
      <c r="F1730" s="27">
        <f>E1730/Config!$B$1</f>
        <v/>
      </c>
      <c r="G1730" s="24" t="inlineStr">
        <is>
          <t>Real</t>
        </is>
      </c>
    </row>
    <row r="1731" ht="23.25" customHeight="1" s="19">
      <c r="A1731" s="24" t="n">
        <v>7628</v>
      </c>
      <c r="B1731" s="25" t="inlineStr">
        <is>
          <t>Desarrollo de soluciones de automatización de marketing</t>
        </is>
      </c>
      <c r="C1731" s="24" t="inlineStr">
        <is>
          <t>Marketing Digital</t>
        </is>
      </c>
      <c r="D1731" s="25" t="inlineStr">
        <is>
          <t>Soluciones De Automatización De Marketing</t>
        </is>
      </c>
      <c r="E1731" s="26" t="n">
        <v>1440</v>
      </c>
      <c r="F1731" s="27">
        <f>E1731/Config!$B$1</f>
        <v/>
      </c>
      <c r="G1731" s="24" t="inlineStr">
        <is>
          <t>Real</t>
        </is>
      </c>
    </row>
    <row r="1732" ht="15" customHeight="1" s="19">
      <c r="A1732" s="24" t="n">
        <v>6172</v>
      </c>
      <c r="B1732" s="25" t="inlineStr">
        <is>
          <t>Diseño de Identidad Corporativa</t>
        </is>
      </c>
      <c r="C1732" s="24" t="inlineStr">
        <is>
          <t>Marketing Digital</t>
        </is>
      </c>
      <c r="D1732" s="25" t="inlineStr">
        <is>
          <t>Diseño De Identidad Corporativa</t>
        </is>
      </c>
      <c r="E1732" s="26" t="n">
        <v>3500</v>
      </c>
      <c r="F1732" s="27">
        <f>E1732/Config!$B$1</f>
        <v/>
      </c>
      <c r="G1732" s="24" t="inlineStr">
        <is>
          <t>Real</t>
        </is>
      </c>
    </row>
    <row r="1733" ht="15" customHeight="1" s="19">
      <c r="A1733" s="24" t="n">
        <v>7896</v>
      </c>
      <c r="B1733" s="25" t="inlineStr">
        <is>
          <t>Diseño de Identidad Corporativa</t>
        </is>
      </c>
      <c r="C1733" s="24" t="inlineStr">
        <is>
          <t>Marketing Digital</t>
        </is>
      </c>
      <c r="D1733" s="25" t="inlineStr">
        <is>
          <t>Diseño De Identidad Corporativa</t>
        </is>
      </c>
      <c r="E1733" s="26" t="n">
        <v>1200</v>
      </c>
      <c r="F1733" s="27">
        <f>E1733/Config!$B$1</f>
        <v/>
      </c>
      <c r="G1733" s="28" t="inlineStr">
        <is>
          <t>Estimado (mediana de categoría)</t>
        </is>
      </c>
    </row>
    <row r="1734" ht="15" customHeight="1" s="19">
      <c r="A1734" s="24" t="n">
        <v>7561</v>
      </c>
      <c r="B1734" s="25" t="inlineStr">
        <is>
          <t>Diseño de Identidad Visual Corporativa</t>
        </is>
      </c>
      <c r="C1734" s="24" t="inlineStr">
        <is>
          <t>Marketing Digital</t>
        </is>
      </c>
      <c r="D1734" s="25" t="inlineStr">
        <is>
          <t>Identidad Visual Corporativa</t>
        </is>
      </c>
      <c r="E1734" s="26" t="n">
        <v>1300</v>
      </c>
      <c r="F1734" s="27">
        <f>E1734/Config!$B$1</f>
        <v/>
      </c>
      <c r="G1734" s="24" t="inlineStr">
        <is>
          <t>Real</t>
        </is>
      </c>
    </row>
    <row r="1735" ht="23.25" customHeight="1" s="19">
      <c r="A1735" s="24" t="n">
        <v>6510</v>
      </c>
      <c r="B1735" s="25" t="inlineStr">
        <is>
          <t>Diseño de empaques</t>
        </is>
      </c>
      <c r="C1735" s="24" t="inlineStr">
        <is>
          <t>Marketing Digital</t>
        </is>
      </c>
      <c r="D1735" s="25" t="inlineStr">
        <is>
          <t>Diseño De Empaques Y Etiquetas Para Resaltar La Presencia De Los Productos En El Mercado.</t>
        </is>
      </c>
      <c r="E1735" s="26" t="n">
        <v>800</v>
      </c>
      <c r="F1735" s="27">
        <f>E1735/Config!$B$1</f>
        <v/>
      </c>
      <c r="G1735" s="24" t="inlineStr">
        <is>
          <t>Real</t>
        </is>
      </c>
    </row>
    <row r="1736" ht="23.25" customHeight="1" s="19">
      <c r="A1736" s="24" t="n">
        <v>8212</v>
      </c>
      <c r="B1736" s="25" t="inlineStr">
        <is>
          <t>Diseño de empaques</t>
        </is>
      </c>
      <c r="C1736" s="24" t="inlineStr">
        <is>
          <t>Marketing Digital</t>
        </is>
      </c>
      <c r="D1736" s="25" t="inlineStr">
        <is>
          <t>Diseño De Empaques Y Etiquetas Para Resaltar La Presencia De Los Productos En El Mercado.</t>
        </is>
      </c>
      <c r="E1736" s="26" t="n">
        <v>1200</v>
      </c>
      <c r="F1736" s="27">
        <f>E1736/Config!$B$1</f>
        <v/>
      </c>
      <c r="G1736" s="28" t="inlineStr">
        <is>
          <t>Estimado (mediana de categoría)</t>
        </is>
      </c>
    </row>
    <row r="1737" ht="23.25" customHeight="1" s="19">
      <c r="A1737" s="24" t="n">
        <v>6538</v>
      </c>
      <c r="B1737" s="25" t="inlineStr">
        <is>
          <t>Diseño de empaquetado</t>
        </is>
      </c>
      <c r="C1737" s="24" t="inlineStr">
        <is>
          <t>Marketing Digital</t>
        </is>
      </c>
      <c r="D1737" s="25" t="inlineStr">
        <is>
          <t>Servicio De Diseño De Empaquetado Para Ecommerce.</t>
        </is>
      </c>
      <c r="E1737" s="26" t="n">
        <v>1000</v>
      </c>
      <c r="F1737" s="27">
        <f>E1737/Config!$B$1</f>
        <v/>
      </c>
      <c r="G1737" s="24" t="inlineStr">
        <is>
          <t>Real</t>
        </is>
      </c>
    </row>
    <row r="1738" ht="23.25" customHeight="1" s="19">
      <c r="A1738" s="24" t="n">
        <v>8240</v>
      </c>
      <c r="B1738" s="25" t="inlineStr">
        <is>
          <t>Diseño de empaquetado</t>
        </is>
      </c>
      <c r="C1738" s="24" t="inlineStr">
        <is>
          <t>Marketing Digital</t>
        </is>
      </c>
      <c r="D1738" s="25" t="inlineStr">
        <is>
          <t>Servicio De Diseño De Empaquetado Para Ecommerce.</t>
        </is>
      </c>
      <c r="E1738" s="26" t="n">
        <v>1200</v>
      </c>
      <c r="F1738" s="27">
        <f>E1738/Config!$B$1</f>
        <v/>
      </c>
      <c r="G1738" s="28" t="inlineStr">
        <is>
          <t>Estimado (mediana de categoría)</t>
        </is>
      </c>
    </row>
    <row r="1739" ht="15" customHeight="1" s="19">
      <c r="A1739" s="24" t="n">
        <v>6497</v>
      </c>
      <c r="B1739" s="25" t="inlineStr">
        <is>
          <t>Diseño de folleto</t>
        </is>
      </c>
      <c r="C1739" s="24" t="inlineStr">
        <is>
          <t>Marketing Digital</t>
        </is>
      </c>
      <c r="D1739" s="25" t="inlineStr">
        <is>
          <t>Diseño De Piezas Gráficas Impresas Para Marketing.</t>
        </is>
      </c>
      <c r="E1739" s="26" t="n">
        <v>300</v>
      </c>
      <c r="F1739" s="27">
        <f>E1739/Config!$B$1</f>
        <v/>
      </c>
      <c r="G1739" s="24" t="inlineStr">
        <is>
          <t>Real</t>
        </is>
      </c>
    </row>
    <row r="1740" ht="15" customHeight="1" s="19">
      <c r="A1740" s="24" t="n">
        <v>8199</v>
      </c>
      <c r="B1740" s="25" t="inlineStr">
        <is>
          <t>Diseño de folleto</t>
        </is>
      </c>
      <c r="C1740" s="24" t="inlineStr">
        <is>
          <t>Marketing Digital</t>
        </is>
      </c>
      <c r="D1740" s="25" t="inlineStr">
        <is>
          <t>Diseño De Piezas Gráficas Impresas Para Marketing.</t>
        </is>
      </c>
      <c r="E1740" s="26" t="n">
        <v>1200</v>
      </c>
      <c r="F1740" s="27">
        <f>E1740/Config!$B$1</f>
        <v/>
      </c>
      <c r="G1740" s="28" t="inlineStr">
        <is>
          <t>Estimado (mediana de categoría)</t>
        </is>
      </c>
    </row>
    <row r="1741" ht="23.25" customHeight="1" s="19">
      <c r="A1741" s="24" t="n">
        <v>6506</v>
      </c>
      <c r="B1741" s="25" t="inlineStr">
        <is>
          <t>Diseño de identidad de marca</t>
        </is>
      </c>
      <c r="C1741" s="24" t="inlineStr">
        <is>
          <t>Marketing Digital</t>
        </is>
      </c>
      <c r="D1741" s="25" t="inlineStr">
        <is>
          <t>Diseño De La Identidad Visual De Una Marca Para Fortalecer Su Posicionamiento.</t>
        </is>
      </c>
      <c r="E1741" s="26" t="n">
        <v>1800</v>
      </c>
      <c r="F1741" s="27">
        <f>E1741/Config!$B$1</f>
        <v/>
      </c>
      <c r="G1741" s="24" t="inlineStr">
        <is>
          <t>Real</t>
        </is>
      </c>
    </row>
    <row r="1742" ht="23.25" customHeight="1" s="19">
      <c r="A1742" s="24" t="n">
        <v>8208</v>
      </c>
      <c r="B1742" s="25" t="inlineStr">
        <is>
          <t>Diseño de identidad de marca</t>
        </is>
      </c>
      <c r="C1742" s="24" t="inlineStr">
        <is>
          <t>Marketing Digital</t>
        </is>
      </c>
      <c r="D1742" s="25" t="inlineStr">
        <is>
          <t>Diseño De La Identidad Visual De Una Marca Para Fortalecer Su Posicionamiento.</t>
        </is>
      </c>
      <c r="E1742" s="26" t="n">
        <v>1200</v>
      </c>
      <c r="F1742" s="27">
        <f>E1742/Config!$B$1</f>
        <v/>
      </c>
      <c r="G1742" s="28" t="inlineStr">
        <is>
          <t>Estimado (mediana de categoría)</t>
        </is>
      </c>
    </row>
    <row r="1743" ht="15" customHeight="1" s="19">
      <c r="A1743" s="24" t="n">
        <v>6537</v>
      </c>
      <c r="B1743" s="25" t="inlineStr">
        <is>
          <t>Diseño de imagen de marca</t>
        </is>
      </c>
      <c r="C1743" s="24" t="inlineStr">
        <is>
          <t>Marketing Digital</t>
        </is>
      </c>
      <c r="D1743" s="25" t="inlineStr">
        <is>
          <t>Servicio De Diseño De Imagen De Marca Completa.</t>
        </is>
      </c>
      <c r="E1743" s="26" t="n">
        <v>800</v>
      </c>
      <c r="F1743" s="27">
        <f>E1743/Config!$B$1</f>
        <v/>
      </c>
      <c r="G1743" s="24" t="inlineStr">
        <is>
          <t>Real</t>
        </is>
      </c>
    </row>
    <row r="1744" ht="15" customHeight="1" s="19">
      <c r="A1744" s="24" t="n">
        <v>8239</v>
      </c>
      <c r="B1744" s="25" t="inlineStr">
        <is>
          <t>Diseño de imagen de marca</t>
        </is>
      </c>
      <c r="C1744" s="24" t="inlineStr">
        <is>
          <t>Marketing Digital</t>
        </is>
      </c>
      <c r="D1744" s="25" t="inlineStr">
        <is>
          <t>Servicio De Diseño De Imagen De Marca Completa.</t>
        </is>
      </c>
      <c r="E1744" s="26" t="n">
        <v>1200</v>
      </c>
      <c r="F1744" s="27">
        <f>E1744/Config!$B$1</f>
        <v/>
      </c>
      <c r="G1744" s="28" t="inlineStr">
        <is>
          <t>Estimado (mediana de categoría)</t>
        </is>
      </c>
    </row>
    <row r="1745" ht="23.25" customHeight="1" s="19">
      <c r="A1745" s="24" t="n">
        <v>6498</v>
      </c>
      <c r="B1745" s="25" t="inlineStr">
        <is>
          <t>Diseño de infografía</t>
        </is>
      </c>
      <c r="C1745" s="24" t="inlineStr">
        <is>
          <t>Marketing Digital</t>
        </is>
      </c>
      <c r="D1745" s="25" t="inlineStr">
        <is>
          <t>Diseño De Piezas Visuales Informativas Y De Alto Impacto.</t>
        </is>
      </c>
      <c r="E1745" s="26" t="n">
        <v>400</v>
      </c>
      <c r="F1745" s="27">
        <f>E1745/Config!$B$1</f>
        <v/>
      </c>
      <c r="G1745" s="24" t="inlineStr">
        <is>
          <t>Real</t>
        </is>
      </c>
    </row>
    <row r="1746" ht="23.25" customHeight="1" s="19">
      <c r="A1746" s="24" t="n">
        <v>8200</v>
      </c>
      <c r="B1746" s="25" t="inlineStr">
        <is>
          <t>Diseño de infografía</t>
        </is>
      </c>
      <c r="C1746" s="24" t="inlineStr">
        <is>
          <t>Marketing Digital</t>
        </is>
      </c>
      <c r="D1746" s="25" t="inlineStr">
        <is>
          <t>Diseño De Piezas Visuales Informativas Y De Alto Impacto.</t>
        </is>
      </c>
      <c r="E1746" s="26" t="n">
        <v>1200</v>
      </c>
      <c r="F1746" s="27">
        <f>E1746/Config!$B$1</f>
        <v/>
      </c>
      <c r="G1746" s="28" t="inlineStr">
        <is>
          <t>Estimado (mediana de categoría)</t>
        </is>
      </c>
    </row>
    <row r="1747" ht="15" customHeight="1" s="19">
      <c r="A1747" s="24" t="n">
        <v>6491</v>
      </c>
      <c r="B1747" s="25" t="inlineStr">
        <is>
          <t>Diseño de logotipo</t>
        </is>
      </c>
      <c r="C1747" s="24" t="inlineStr">
        <is>
          <t>Marketing Digital</t>
        </is>
      </c>
      <c r="D1747" s="25" t="inlineStr">
        <is>
          <t>Creación De Logotipos Y Marcas.</t>
        </is>
      </c>
      <c r="E1747" s="26" t="n">
        <v>500</v>
      </c>
      <c r="F1747" s="27">
        <f>E1747/Config!$B$1</f>
        <v/>
      </c>
      <c r="G1747" s="24" t="inlineStr">
        <is>
          <t>Real</t>
        </is>
      </c>
    </row>
    <row r="1748" ht="15" customHeight="1" s="19">
      <c r="A1748" s="24" t="n">
        <v>8193</v>
      </c>
      <c r="B1748" s="25" t="inlineStr">
        <is>
          <t>Diseño de logotipo</t>
        </is>
      </c>
      <c r="C1748" s="24" t="inlineStr">
        <is>
          <t>Marketing Digital</t>
        </is>
      </c>
      <c r="D1748" s="25" t="inlineStr">
        <is>
          <t>Creación De Logotipos Y Marcas.</t>
        </is>
      </c>
      <c r="E1748" s="26" t="n">
        <v>1200</v>
      </c>
      <c r="F1748" s="27">
        <f>E1748/Config!$B$1</f>
        <v/>
      </c>
      <c r="G1748" s="28" t="inlineStr">
        <is>
          <t>Estimado (mediana de categoría)</t>
        </is>
      </c>
    </row>
    <row r="1749" ht="15" customHeight="1" s="19">
      <c r="A1749" s="24" t="n">
        <v>6458</v>
      </c>
      <c r="B1749" s="25" t="inlineStr">
        <is>
          <t>Diseño de logotipos</t>
        </is>
      </c>
      <c r="C1749" s="24" t="inlineStr">
        <is>
          <t>Marketing Digital</t>
        </is>
      </c>
      <c r="D1749" s="25" t="inlineStr">
        <is>
          <t>Servicio De Diseño Profesional De Logotipos.</t>
        </is>
      </c>
      <c r="E1749" s="26" t="n">
        <v>150</v>
      </c>
      <c r="F1749" s="27">
        <f>E1749/Config!$B$1</f>
        <v/>
      </c>
      <c r="G1749" s="24" t="inlineStr">
        <is>
          <t>Real</t>
        </is>
      </c>
    </row>
    <row r="1750" ht="15" customHeight="1" s="19">
      <c r="A1750" s="24" t="n">
        <v>8169</v>
      </c>
      <c r="B1750" s="25" t="inlineStr">
        <is>
          <t>Diseño de logotipos</t>
        </is>
      </c>
      <c r="C1750" s="24" t="inlineStr">
        <is>
          <t>Marketing Digital</t>
        </is>
      </c>
      <c r="D1750" s="25" t="inlineStr">
        <is>
          <t>Servicio De Diseño Profesional De Logotipos.</t>
        </is>
      </c>
      <c r="E1750" s="26" t="n">
        <v>1200</v>
      </c>
      <c r="F1750" s="27">
        <f>E1750/Config!$B$1</f>
        <v/>
      </c>
      <c r="G1750" s="28" t="inlineStr">
        <is>
          <t>Estimado (mediana de categoría)</t>
        </is>
      </c>
    </row>
    <row r="1751" ht="23.25" customHeight="1" s="19">
      <c r="A1751" s="24" t="n">
        <v>6524</v>
      </c>
      <c r="B1751" s="25" t="inlineStr">
        <is>
          <t>Diseño de material impreso</t>
        </is>
      </c>
      <c r="C1751" s="24" t="inlineStr">
        <is>
          <t>Marketing Digital</t>
        </is>
      </c>
      <c r="D1751" s="25" t="inlineStr">
        <is>
          <t>Servicio De Diseño De Material Impreso Corporativo Y De Marketing.</t>
        </is>
      </c>
      <c r="E1751" s="26" t="n">
        <v>800</v>
      </c>
      <c r="F1751" s="27">
        <f>E1751/Config!$B$1</f>
        <v/>
      </c>
      <c r="G1751" s="24" t="inlineStr">
        <is>
          <t>Real</t>
        </is>
      </c>
    </row>
    <row r="1752" ht="23.25" customHeight="1" s="19">
      <c r="A1752" s="24" t="n">
        <v>8226</v>
      </c>
      <c r="B1752" s="25" t="inlineStr">
        <is>
          <t>Diseño de material impreso</t>
        </is>
      </c>
      <c r="C1752" s="24" t="inlineStr">
        <is>
          <t>Marketing Digital</t>
        </is>
      </c>
      <c r="D1752" s="25" t="inlineStr">
        <is>
          <t>Servicio De Diseño De Material Impreso Corporativo Y De Marketing.</t>
        </is>
      </c>
      <c r="E1752" s="26" t="n">
        <v>1200</v>
      </c>
      <c r="F1752" s="27">
        <f>E1752/Config!$B$1</f>
        <v/>
      </c>
      <c r="G1752" s="28" t="inlineStr">
        <is>
          <t>Estimado (mediana de categoría)</t>
        </is>
      </c>
    </row>
    <row r="1753" ht="15" customHeight="1" s="19">
      <c r="A1753" s="24" t="n">
        <v>6459</v>
      </c>
      <c r="B1753" s="25" t="inlineStr">
        <is>
          <t>Diseño de material promocional</t>
        </is>
      </c>
      <c r="C1753" s="24" t="inlineStr">
        <is>
          <t>Marketing Digital</t>
        </is>
      </c>
      <c r="D1753" s="25" t="inlineStr">
        <is>
          <t>Servicio De Diseño De Material Promocional.</t>
        </is>
      </c>
      <c r="E1753" s="26" t="n">
        <v>300</v>
      </c>
      <c r="F1753" s="27">
        <f>E1753/Config!$B$1</f>
        <v/>
      </c>
      <c r="G1753" s="24" t="inlineStr">
        <is>
          <t>Real</t>
        </is>
      </c>
    </row>
    <row r="1754" ht="15" customHeight="1" s="19">
      <c r="A1754" s="24" t="n">
        <v>8170</v>
      </c>
      <c r="B1754" s="25" t="inlineStr">
        <is>
          <t>Diseño de material promocional</t>
        </is>
      </c>
      <c r="C1754" s="24" t="inlineStr">
        <is>
          <t>Marketing Digital</t>
        </is>
      </c>
      <c r="D1754" s="25" t="inlineStr">
        <is>
          <t>Servicio De Diseño De Material Promocional.</t>
        </is>
      </c>
      <c r="E1754" s="26" t="n">
        <v>1200</v>
      </c>
      <c r="F1754" s="27">
        <f>E1754/Config!$B$1</f>
        <v/>
      </c>
      <c r="G1754" s="28" t="inlineStr">
        <is>
          <t>Estimado (mediana de categoría)</t>
        </is>
      </c>
    </row>
    <row r="1755" ht="23.25" customHeight="1" s="19">
      <c r="A1755" s="24" t="n">
        <v>6500</v>
      </c>
      <c r="B1755" s="25" t="inlineStr">
        <is>
          <t>Diseño de presentación</t>
        </is>
      </c>
      <c r="C1755" s="24" t="inlineStr">
        <is>
          <t>Marketing Digital</t>
        </is>
      </c>
      <c r="D1755" s="25" t="inlineStr">
        <is>
          <t>Desarrollo De Presentaciones Empresariales Cautivadoras.</t>
        </is>
      </c>
      <c r="E1755" s="26" t="n">
        <v>400</v>
      </c>
      <c r="F1755" s="27">
        <f>E1755/Config!$B$1</f>
        <v/>
      </c>
      <c r="G1755" s="24" t="inlineStr">
        <is>
          <t>Real</t>
        </is>
      </c>
    </row>
    <row r="1756" ht="23.25" customHeight="1" s="19">
      <c r="A1756" s="24" t="n">
        <v>8202</v>
      </c>
      <c r="B1756" s="25" t="inlineStr">
        <is>
          <t>Diseño de presentación</t>
        </is>
      </c>
      <c r="C1756" s="24" t="inlineStr">
        <is>
          <t>Marketing Digital</t>
        </is>
      </c>
      <c r="D1756" s="25" t="inlineStr">
        <is>
          <t>Desarrollo De Presentaciones Empresariales Cautivadoras.</t>
        </is>
      </c>
      <c r="E1756" s="26" t="n">
        <v>1200</v>
      </c>
      <c r="F1756" s="27">
        <f>E1756/Config!$B$1</f>
        <v/>
      </c>
      <c r="G1756" s="28" t="inlineStr">
        <is>
          <t>Estimado (mediana de categoría)</t>
        </is>
      </c>
    </row>
    <row r="1757" ht="15" customHeight="1" s="19">
      <c r="A1757" s="24" t="n">
        <v>6314</v>
      </c>
      <c r="B1757" s="25" t="inlineStr">
        <is>
          <t>Diseño gráfico</t>
        </is>
      </c>
      <c r="C1757" s="24" t="inlineStr">
        <is>
          <t>Marketing Digital</t>
        </is>
      </c>
      <c r="D1757" s="25" t="inlineStr">
        <is>
          <t>Diseño Gráfico Y Branding.</t>
        </is>
      </c>
      <c r="E1757" s="26" t="n">
        <v>900</v>
      </c>
      <c r="F1757" s="27">
        <f>E1757/Config!$B$1</f>
        <v/>
      </c>
      <c r="G1757" s="24" t="inlineStr">
        <is>
          <t>Real</t>
        </is>
      </c>
    </row>
    <row r="1758" ht="15" customHeight="1" s="19">
      <c r="A1758" s="24" t="n">
        <v>8025</v>
      </c>
      <c r="B1758" s="25" t="inlineStr">
        <is>
          <t>Diseño gráfico</t>
        </is>
      </c>
      <c r="C1758" s="24" t="inlineStr">
        <is>
          <t>Marketing Digital</t>
        </is>
      </c>
      <c r="D1758" s="25" t="inlineStr">
        <is>
          <t>Diseño Gráfico Y Branding.</t>
        </is>
      </c>
      <c r="E1758" s="26" t="n">
        <v>1200</v>
      </c>
      <c r="F1758" s="27">
        <f>E1758/Config!$B$1</f>
        <v/>
      </c>
      <c r="G1758" s="28" t="inlineStr">
        <is>
          <t>Estimado (mediana de categoría)</t>
        </is>
      </c>
    </row>
    <row r="1759" ht="15" customHeight="1" s="19">
      <c r="A1759" s="24" t="n">
        <v>6329</v>
      </c>
      <c r="B1759" s="25" t="inlineStr">
        <is>
          <t>Diseño gráfico y branding</t>
        </is>
      </c>
      <c r="C1759" s="24" t="inlineStr">
        <is>
          <t>Marketing Digital</t>
        </is>
      </c>
      <c r="D1759" s="25" t="inlineStr">
        <is>
          <t>Servicios De Diseño Gráfico Y Desarrollo De Marca.</t>
        </is>
      </c>
      <c r="E1759" s="26" t="n">
        <v>2700</v>
      </c>
      <c r="F1759" s="27">
        <f>E1759/Config!$B$1</f>
        <v/>
      </c>
      <c r="G1759" s="24" t="inlineStr">
        <is>
          <t>Real</t>
        </is>
      </c>
    </row>
    <row r="1760" ht="15" customHeight="1" s="19">
      <c r="A1760" s="24" t="n">
        <v>8040</v>
      </c>
      <c r="B1760" s="25" t="inlineStr">
        <is>
          <t>Diseño gráfico y branding</t>
        </is>
      </c>
      <c r="C1760" s="24" t="inlineStr">
        <is>
          <t>Marketing Digital</t>
        </is>
      </c>
      <c r="D1760" s="25" t="inlineStr">
        <is>
          <t>Servicios De Diseño Gráfico Y Desarrollo De Marca.</t>
        </is>
      </c>
      <c r="E1760" s="26" t="n">
        <v>1200</v>
      </c>
      <c r="F1760" s="27">
        <f>E1760/Config!$B$1</f>
        <v/>
      </c>
      <c r="G1760" s="28" t="inlineStr">
        <is>
          <t>Estimado (mediana de categoría)</t>
        </is>
      </c>
    </row>
    <row r="1761" ht="15" customHeight="1" s="19">
      <c r="A1761" s="24" t="n">
        <v>7579</v>
      </c>
      <c r="B1761" s="25" t="inlineStr">
        <is>
          <t>Diseño personalizado de tarjeta de presentación</t>
        </is>
      </c>
      <c r="C1761" s="24" t="inlineStr">
        <is>
          <t>Marketing Digital</t>
        </is>
      </c>
      <c r="D1761" s="25" t="inlineStr">
        <is>
          <t>Diseño De Tarjetas De Presentación</t>
        </is>
      </c>
      <c r="E1761" s="26" t="n">
        <v>90</v>
      </c>
      <c r="F1761" s="27">
        <f>E1761/Config!$B$1</f>
        <v/>
      </c>
      <c r="G1761" s="24" t="inlineStr">
        <is>
          <t>Real</t>
        </is>
      </c>
    </row>
    <row r="1762" ht="23.25" customHeight="1" s="19">
      <c r="A1762" s="24" t="n">
        <v>6526</v>
      </c>
      <c r="B1762" s="25" t="inlineStr">
        <is>
          <t>Edición de video</t>
        </is>
      </c>
      <c r="C1762" s="24" t="inlineStr">
        <is>
          <t>Marketing Digital</t>
        </is>
      </c>
      <c r="D1762" s="25" t="inlineStr">
        <is>
          <t>Servicio De Post-Producción De Videos Corporativos Y De Marketing.</t>
        </is>
      </c>
      <c r="E1762" s="26" t="n">
        <v>1200</v>
      </c>
      <c r="F1762" s="27">
        <f>E1762/Config!$B$1</f>
        <v/>
      </c>
      <c r="G1762" s="24" t="inlineStr">
        <is>
          <t>Real</t>
        </is>
      </c>
    </row>
    <row r="1763" ht="23.25" customHeight="1" s="19">
      <c r="A1763" s="24" t="n">
        <v>8228</v>
      </c>
      <c r="B1763" s="25" t="inlineStr">
        <is>
          <t>Edición de video</t>
        </is>
      </c>
      <c r="C1763" s="24" t="inlineStr">
        <is>
          <t>Marketing Digital</t>
        </is>
      </c>
      <c r="D1763" s="25" t="inlineStr">
        <is>
          <t>Servicio De Post-Producción De Videos Corporativos Y De Marketing.</t>
        </is>
      </c>
      <c r="E1763" s="26" t="n">
        <v>1200</v>
      </c>
      <c r="F1763" s="27">
        <f>E1763/Config!$B$1</f>
        <v/>
      </c>
      <c r="G1763" s="28" t="inlineStr">
        <is>
          <t>Estimado (mediana de categoría)</t>
        </is>
      </c>
    </row>
    <row r="1764" ht="15" customHeight="1" s="19">
      <c r="A1764" s="24" t="n">
        <v>6457</v>
      </c>
      <c r="B1764" s="25" t="inlineStr">
        <is>
          <t>Edición de videos</t>
        </is>
      </c>
      <c r="C1764" s="24" t="inlineStr">
        <is>
          <t>Marketing Digital</t>
        </is>
      </c>
      <c r="D1764" s="25" t="inlineStr">
        <is>
          <t>Servicio Completo De Edición Profesional De Videos.</t>
        </is>
      </c>
      <c r="E1764" s="26" t="n">
        <v>200</v>
      </c>
      <c r="F1764" s="27">
        <f>E1764/Config!$B$1</f>
        <v/>
      </c>
      <c r="G1764" s="24" t="inlineStr">
        <is>
          <t>Real</t>
        </is>
      </c>
    </row>
    <row r="1765" ht="15" customHeight="1" s="19">
      <c r="A1765" s="24" t="n">
        <v>8168</v>
      </c>
      <c r="B1765" s="25" t="inlineStr">
        <is>
          <t>Edición de videos</t>
        </is>
      </c>
      <c r="C1765" s="24" t="inlineStr">
        <is>
          <t>Marketing Digital</t>
        </is>
      </c>
      <c r="D1765" s="25" t="inlineStr">
        <is>
          <t>Servicio Completo De Edición Profesional De Videos.</t>
        </is>
      </c>
      <c r="E1765" s="26" t="n">
        <v>1200</v>
      </c>
      <c r="F1765" s="27">
        <f>E1765/Config!$B$1</f>
        <v/>
      </c>
      <c r="G1765" s="28" t="inlineStr">
        <is>
          <t>Estimado (mediana de categoría)</t>
        </is>
      </c>
    </row>
    <row r="1766" ht="15" customHeight="1" s="19">
      <c r="A1766" s="24" t="n">
        <v>5890</v>
      </c>
      <c r="B1766" s="25" t="inlineStr">
        <is>
          <t>Email Marketing Campaign</t>
        </is>
      </c>
      <c r="C1766" s="24" t="inlineStr">
        <is>
          <t>Marketing Digital</t>
        </is>
      </c>
      <c r="D1766" s="25" t="inlineStr">
        <is>
          <t>Campañas De Email Marketing</t>
        </is>
      </c>
      <c r="E1766" s="26" t="n">
        <v>2000</v>
      </c>
      <c r="F1766" s="27">
        <f>E1766/Config!$B$1</f>
        <v/>
      </c>
      <c r="G1766" s="24" t="inlineStr">
        <is>
          <t>Real</t>
        </is>
      </c>
    </row>
    <row r="1767" ht="15" customHeight="1" s="19">
      <c r="A1767" s="24" t="n">
        <v>7672</v>
      </c>
      <c r="B1767" s="25" t="inlineStr">
        <is>
          <t>Email Marketing Campaign</t>
        </is>
      </c>
      <c r="C1767" s="24" t="inlineStr">
        <is>
          <t>Marketing Digital</t>
        </is>
      </c>
      <c r="D1767" s="25" t="inlineStr">
        <is>
          <t>Campañas De Email Marketing</t>
        </is>
      </c>
      <c r="E1767" s="26" t="n">
        <v>1200</v>
      </c>
      <c r="F1767" s="27">
        <f>E1767/Config!$B$1</f>
        <v/>
      </c>
      <c r="G1767" s="28" t="inlineStr">
        <is>
          <t>Estimado (mediana de categoría)</t>
        </is>
      </c>
    </row>
    <row r="1768" ht="15" customHeight="1" s="19">
      <c r="A1768" s="24" t="n">
        <v>6186</v>
      </c>
      <c r="B1768" s="25" t="inlineStr">
        <is>
          <t>Email Marketing con IA</t>
        </is>
      </c>
      <c r="C1768" s="24" t="inlineStr">
        <is>
          <t>Marketing Digital</t>
        </is>
      </c>
      <c r="D1768" s="25" t="inlineStr">
        <is>
          <t>Automatización De Email Marketing</t>
        </is>
      </c>
      <c r="E1768" s="26" t="n">
        <v>140</v>
      </c>
      <c r="F1768" s="27">
        <f>E1768/Config!$B$1</f>
        <v/>
      </c>
      <c r="G1768" s="24" t="inlineStr">
        <is>
          <t>Real</t>
        </is>
      </c>
    </row>
    <row r="1769" ht="15" customHeight="1" s="19">
      <c r="A1769" s="24" t="n">
        <v>7910</v>
      </c>
      <c r="B1769" s="25" t="inlineStr">
        <is>
          <t>Email Marketing con IA</t>
        </is>
      </c>
      <c r="C1769" s="24" t="inlineStr">
        <is>
          <t>Marketing Digital</t>
        </is>
      </c>
      <c r="D1769" s="25" t="inlineStr">
        <is>
          <t>Automatización De Email Marketing</t>
        </is>
      </c>
      <c r="E1769" s="26" t="n">
        <v>1200</v>
      </c>
      <c r="F1769" s="27">
        <f>E1769/Config!$B$1</f>
        <v/>
      </c>
      <c r="G1769" s="28" t="inlineStr">
        <is>
          <t>Estimado (mediana de categoría)</t>
        </is>
      </c>
    </row>
    <row r="1770" ht="23.25" customHeight="1" s="19">
      <c r="A1770" s="24" t="n">
        <v>6542</v>
      </c>
      <c r="B1770" s="25" t="inlineStr">
        <is>
          <t>Estrategia de Email Marketing para Ecommerce: Diseña y Automatiza tus Campañas</t>
        </is>
      </c>
      <c r="C1770" s="24" t="inlineStr">
        <is>
          <t>Marketing Digital</t>
        </is>
      </c>
      <c r="D1770" s="25" t="inlineStr">
        <is>
          <t>Servicio de Estrategia de Email Marketing para Ecommerce</t>
        </is>
      </c>
      <c r="E1770" s="26" t="n">
        <v>1500</v>
      </c>
      <c r="F1770" s="27">
        <f>E1770/Config!$B$1</f>
        <v/>
      </c>
      <c r="G1770" s="24" t="inlineStr">
        <is>
          <t>Real</t>
        </is>
      </c>
    </row>
    <row r="1771" ht="34.5" customHeight="1" s="19">
      <c r="A1771" s="24" t="n">
        <v>8244</v>
      </c>
      <c r="B1771" s="25" t="inlineStr">
        <is>
          <t>Estrategia de Email Marketing para Ecommerce: Diseña y Automatiza tus Campañas para Aumentar Ventas y Fidelizar Clientes</t>
        </is>
      </c>
      <c r="C1771" s="24" t="inlineStr">
        <is>
          <t>Marketing Digital</t>
        </is>
      </c>
      <c r="D1771" s="25" t="inlineStr">
        <is>
          <t>Estrategia de Email Marketing para Ecommerce: Diseña y Automatiza tus Campañas</t>
        </is>
      </c>
      <c r="E1771" s="26" t="n">
        <v>1200</v>
      </c>
      <c r="F1771" s="27">
        <f>E1771/Config!$B$1</f>
        <v/>
      </c>
      <c r="G1771" s="28" t="inlineStr">
        <is>
          <t>Estimado (mediana de categoría)</t>
        </is>
      </c>
    </row>
    <row r="1772" ht="23.25" customHeight="1" s="19">
      <c r="A1772" s="24" t="n">
        <v>6671</v>
      </c>
      <c r="B1772" s="25" t="inlineStr">
        <is>
          <t>Estrategia de Marketing Digital para Ecommerce: Impulsa tu Tienda Virtual</t>
        </is>
      </c>
      <c r="C1772" s="24" t="inlineStr">
        <is>
          <t>Marketing Digital</t>
        </is>
      </c>
      <c r="D1772" s="25" t="inlineStr">
        <is>
          <t>Servicios de Estrategia de Marketing Digital para Ecommerce</t>
        </is>
      </c>
      <c r="E1772" s="26" t="n">
        <v>2000</v>
      </c>
      <c r="F1772" s="27">
        <f>E1772/Config!$B$1</f>
        <v/>
      </c>
      <c r="G1772" s="24" t="inlineStr">
        <is>
          <t>Real</t>
        </is>
      </c>
    </row>
    <row r="1773" ht="34.5" customHeight="1" s="19">
      <c r="A1773" s="24" t="n">
        <v>8372</v>
      </c>
      <c r="B1773" s="25" t="inlineStr">
        <is>
          <t>Estrategia de Marketing Digital para Ecommerce: Impulsa tu Tienda Virtual con Análisis, SEO, Redes Sociales y PPC</t>
        </is>
      </c>
      <c r="C1773" s="24" t="inlineStr">
        <is>
          <t>Marketing Digital</t>
        </is>
      </c>
      <c r="D1773" s="25" t="inlineStr">
        <is>
          <t>Estrategia de Marketing Digital para Ecommerce: ¡Impulsa tu Tienda Virtual!</t>
        </is>
      </c>
      <c r="E1773" s="26" t="n">
        <v>1200</v>
      </c>
      <c r="F1773" s="27">
        <f>E1773/Config!$B$1</f>
        <v/>
      </c>
      <c r="G1773" s="28" t="inlineStr">
        <is>
          <t>Estimado (mediana de categoría)</t>
        </is>
      </c>
    </row>
    <row r="1774" ht="23.25" customHeight="1" s="19">
      <c r="A1774" s="24" t="n">
        <v>6507</v>
      </c>
      <c r="B1774" s="25" t="inlineStr">
        <is>
          <t>Estrategia de SEO</t>
        </is>
      </c>
      <c r="C1774" s="24" t="inlineStr">
        <is>
          <t>Marketing Digital</t>
        </is>
      </c>
      <c r="D1774" s="25" t="inlineStr">
        <is>
          <t>Optimización Del Posicionamiento Web Orgánico Para Aumentar La Visibilidad Y Tráfico.</t>
        </is>
      </c>
      <c r="E1774" s="26" t="n">
        <v>2000</v>
      </c>
      <c r="F1774" s="27">
        <f>E1774/Config!$B$1</f>
        <v/>
      </c>
      <c r="G1774" s="24" t="inlineStr">
        <is>
          <t>Real</t>
        </is>
      </c>
    </row>
    <row r="1775" ht="23.25" customHeight="1" s="19">
      <c r="A1775" s="24" t="n">
        <v>8209</v>
      </c>
      <c r="B1775" s="25" t="inlineStr">
        <is>
          <t>Estrategia de SEO</t>
        </is>
      </c>
      <c r="C1775" s="24" t="inlineStr">
        <is>
          <t>Marketing Digital</t>
        </is>
      </c>
      <c r="D1775" s="25" t="inlineStr">
        <is>
          <t>Optimización Del Posicionamiento Web Orgánico Para Aumentar La Visibilidad Y Tráfico.</t>
        </is>
      </c>
      <c r="E1775" s="26" t="n">
        <v>1200</v>
      </c>
      <c r="F1775" s="27">
        <f>E1775/Config!$B$1</f>
        <v/>
      </c>
      <c r="G1775" s="28" t="inlineStr">
        <is>
          <t>Estimado (mediana de categoría)</t>
        </is>
      </c>
    </row>
    <row r="1776" ht="23.25" customHeight="1" s="19">
      <c r="A1776" s="24" t="n">
        <v>6501</v>
      </c>
      <c r="B1776" s="25" t="inlineStr">
        <is>
          <t>Estrategia de redes sociales</t>
        </is>
      </c>
      <c r="C1776" s="24" t="inlineStr">
        <is>
          <t>Marketing Digital</t>
        </is>
      </c>
      <c r="D1776" s="25" t="inlineStr">
        <is>
          <t>Planificación Y Gestión De La Estrategia De Redes Sociales De Una Empresa.</t>
        </is>
      </c>
      <c r="E1776" s="26" t="n">
        <v>1800</v>
      </c>
      <c r="F1776" s="27">
        <f>E1776/Config!$B$1</f>
        <v/>
      </c>
      <c r="G1776" s="24" t="inlineStr">
        <is>
          <t>Real</t>
        </is>
      </c>
    </row>
    <row r="1777" ht="23.25" customHeight="1" s="19">
      <c r="A1777" s="24" t="n">
        <v>8203</v>
      </c>
      <c r="B1777" s="25" t="inlineStr">
        <is>
          <t>Estrategia de redes sociales</t>
        </is>
      </c>
      <c r="C1777" s="24" t="inlineStr">
        <is>
          <t>Marketing Digital</t>
        </is>
      </c>
      <c r="D1777" s="25" t="inlineStr">
        <is>
          <t>Planificación Y Gestión De La Estrategia De Redes Sociales De Una Empresa.</t>
        </is>
      </c>
      <c r="E1777" s="26" t="n">
        <v>1200</v>
      </c>
      <c r="F1777" s="27">
        <f>E1777/Config!$B$1</f>
        <v/>
      </c>
      <c r="G1777" s="28" t="inlineStr">
        <is>
          <t>Estimado (mediana de categoría)</t>
        </is>
      </c>
    </row>
    <row r="1778" ht="15" customHeight="1" s="19">
      <c r="A1778" s="24" t="n">
        <v>6807</v>
      </c>
      <c r="B1778" s="25" t="inlineStr">
        <is>
          <t>Estrategias de Marketing Digital</t>
        </is>
      </c>
      <c r="C1778" s="24" t="inlineStr">
        <is>
          <t>Marketing Digital</t>
        </is>
      </c>
      <c r="D1778" s="25" t="inlineStr">
        <is>
          <t>Estrategias De Marketing Digital</t>
        </is>
      </c>
      <c r="E1778" s="26" t="n">
        <v>2800</v>
      </c>
      <c r="F1778" s="27">
        <f>E1778/Config!$B$1</f>
        <v/>
      </c>
      <c r="G1778" s="24" t="inlineStr">
        <is>
          <t>Real</t>
        </is>
      </c>
    </row>
    <row r="1779" ht="15" customHeight="1" s="19">
      <c r="A1779" s="24" t="n">
        <v>6811</v>
      </c>
      <c r="B1779" s="25" t="inlineStr">
        <is>
          <t>Estrategias de SEO</t>
        </is>
      </c>
      <c r="C1779" s="24" t="inlineStr">
        <is>
          <t>Marketing Digital</t>
        </is>
      </c>
      <c r="D1779" s="25" t="inlineStr">
        <is>
          <t>Estrategias De Optimización En Buscadores.</t>
        </is>
      </c>
      <c r="E1779" s="26" t="n">
        <v>2200</v>
      </c>
      <c r="F1779" s="27">
        <f>E1779/Config!$B$1</f>
        <v/>
      </c>
      <c r="G1779" s="24" t="inlineStr">
        <is>
          <t>Real</t>
        </is>
      </c>
    </row>
    <row r="1780" ht="15" customHeight="1" s="19">
      <c r="A1780" s="24" t="n">
        <v>6815</v>
      </c>
      <c r="B1780" s="25" t="inlineStr">
        <is>
          <t>Estrategias de SEO y SEM</t>
        </is>
      </c>
      <c r="C1780" s="24" t="inlineStr">
        <is>
          <t>Marketing Digital</t>
        </is>
      </c>
      <c r="D1780" s="25" t="inlineStr">
        <is>
          <t>Estrategias De Seo Y Sem.</t>
        </is>
      </c>
      <c r="E1780" s="26" t="n">
        <v>2200</v>
      </c>
      <c r="F1780" s="27">
        <f>E1780/Config!$B$1</f>
        <v/>
      </c>
      <c r="G1780" s="24" t="inlineStr">
        <is>
          <t>Real</t>
        </is>
      </c>
    </row>
    <row r="1781" ht="15" customHeight="1" s="19">
      <c r="A1781" s="24" t="n">
        <v>6302</v>
      </c>
      <c r="B1781" s="25" t="inlineStr">
        <is>
          <t>Facilita la ideación y generación de contenidos</t>
        </is>
      </c>
      <c r="C1781" s="24" t="inlineStr">
        <is>
          <t>Marketing Digital</t>
        </is>
      </c>
      <c r="D1781" s="25" t="inlineStr">
        <is>
          <t>Herramienta De Generación De Contenidos</t>
        </is>
      </c>
      <c r="E1781" s="26" t="n">
        <v>40</v>
      </c>
      <c r="F1781" s="27">
        <f>E1781/Config!$B$1</f>
        <v/>
      </c>
      <c r="G1781" s="24" t="inlineStr">
        <is>
          <t>Real</t>
        </is>
      </c>
    </row>
    <row r="1782" ht="15" customHeight="1" s="19">
      <c r="A1782" s="24" t="n">
        <v>8015</v>
      </c>
      <c r="B1782" s="25" t="inlineStr">
        <is>
          <t>Facilita la ideación y generación de contenidos</t>
        </is>
      </c>
      <c r="C1782" s="24" t="inlineStr">
        <is>
          <t>Marketing Digital</t>
        </is>
      </c>
      <c r="D1782" s="25" t="inlineStr">
        <is>
          <t>Herramienta De Generación De Contenidos</t>
        </is>
      </c>
      <c r="E1782" s="26" t="n">
        <v>1200</v>
      </c>
      <c r="F1782" s="27">
        <f>E1782/Config!$B$1</f>
        <v/>
      </c>
      <c r="G1782" s="28" t="inlineStr">
        <is>
          <t>Estimado (mediana de categoría)</t>
        </is>
      </c>
    </row>
    <row r="1783" ht="23.25" customHeight="1" s="19">
      <c r="A1783" s="24" t="n">
        <v>6515</v>
      </c>
      <c r="B1783" s="25" t="inlineStr">
        <is>
          <t>Filmación de video corporativo</t>
        </is>
      </c>
      <c r="C1783" s="24" t="inlineStr">
        <is>
          <t>Marketing Digital</t>
        </is>
      </c>
      <c r="D1783" s="25" t="inlineStr">
        <is>
          <t>Producción De Videos Corporativos Para Fines De Comunicación, Marketing Y Promoción.</t>
        </is>
      </c>
      <c r="E1783" s="26" t="n">
        <v>3000</v>
      </c>
      <c r="F1783" s="27">
        <f>E1783/Config!$B$1</f>
        <v/>
      </c>
      <c r="G1783" s="24" t="inlineStr">
        <is>
          <t>Real</t>
        </is>
      </c>
    </row>
    <row r="1784" ht="23.25" customHeight="1" s="19">
      <c r="A1784" s="24" t="n">
        <v>8217</v>
      </c>
      <c r="B1784" s="25" t="inlineStr">
        <is>
          <t>Filmación de video corporativo</t>
        </is>
      </c>
      <c r="C1784" s="24" t="inlineStr">
        <is>
          <t>Marketing Digital</t>
        </is>
      </c>
      <c r="D1784" s="25" t="inlineStr">
        <is>
          <t>Producción De Videos Corporativos Para Fines De Comunicación, Marketing Y Promoción.</t>
        </is>
      </c>
      <c r="E1784" s="26" t="n">
        <v>1200</v>
      </c>
      <c r="F1784" s="27">
        <f>E1784/Config!$B$1</f>
        <v/>
      </c>
      <c r="G1784" s="28" t="inlineStr">
        <is>
          <t>Estimado (mediana de categoría)</t>
        </is>
      </c>
    </row>
    <row r="1785" ht="23.25" customHeight="1" s="19">
      <c r="A1785" s="24" t="n">
        <v>6477</v>
      </c>
      <c r="B1785" s="25" t="inlineStr">
        <is>
          <t>Fotografía de producto</t>
        </is>
      </c>
      <c r="C1785" s="24" t="inlineStr">
        <is>
          <t>Marketing Digital</t>
        </is>
      </c>
      <c r="D1785" s="25" t="inlineStr">
        <is>
          <t>Servicio De Fotografía De Productos Para Catálogos Y Ecommerce.</t>
        </is>
      </c>
      <c r="E1785" s="26" t="n">
        <v>300</v>
      </c>
      <c r="F1785" s="27">
        <f>E1785/Config!$B$1</f>
        <v/>
      </c>
      <c r="G1785" s="24" t="inlineStr">
        <is>
          <t>Real</t>
        </is>
      </c>
    </row>
    <row r="1786" ht="23.25" customHeight="1" s="19">
      <c r="A1786" s="24" t="n">
        <v>8187</v>
      </c>
      <c r="B1786" s="25" t="inlineStr">
        <is>
          <t>Fotografía de producto</t>
        </is>
      </c>
      <c r="C1786" s="24" t="inlineStr">
        <is>
          <t>Marketing Digital</t>
        </is>
      </c>
      <c r="D1786" s="25" t="inlineStr">
        <is>
          <t>Servicio De Fotografía De Productos Para Catálogos Y Ecommerce.</t>
        </is>
      </c>
      <c r="E1786" s="26" t="n">
        <v>1200</v>
      </c>
      <c r="F1786" s="27">
        <f>E1786/Config!$B$1</f>
        <v/>
      </c>
      <c r="G1786" s="28" t="inlineStr">
        <is>
          <t>Estimado (mediana de categoría)</t>
        </is>
      </c>
    </row>
    <row r="1787" ht="15" customHeight="1" s="19">
      <c r="A1787" s="24" t="n">
        <v>6466</v>
      </c>
      <c r="B1787" s="25" t="inlineStr">
        <is>
          <t>Fotografía profesional</t>
        </is>
      </c>
      <c r="C1787" s="24" t="inlineStr">
        <is>
          <t>Marketing Digital</t>
        </is>
      </c>
      <c r="D1787" s="25" t="inlineStr">
        <is>
          <t>Servicio De Fotografía Profesional A Medida.</t>
        </is>
      </c>
      <c r="E1787" s="26" t="n">
        <v>500</v>
      </c>
      <c r="F1787" s="27">
        <f>E1787/Config!$B$1</f>
        <v/>
      </c>
      <c r="G1787" s="24" t="inlineStr">
        <is>
          <t>Real</t>
        </is>
      </c>
    </row>
    <row r="1788" ht="15" customHeight="1" s="19">
      <c r="A1788" s="24" t="n">
        <v>8176</v>
      </c>
      <c r="B1788" s="25" t="inlineStr">
        <is>
          <t>Fotografía profesional</t>
        </is>
      </c>
      <c r="C1788" s="24" t="inlineStr">
        <is>
          <t>Marketing Digital</t>
        </is>
      </c>
      <c r="D1788" s="25" t="inlineStr">
        <is>
          <t>Servicio De Fotografía Profesional A Medida.</t>
        </is>
      </c>
      <c r="E1788" s="26" t="n">
        <v>1200</v>
      </c>
      <c r="F1788" s="27">
        <f>E1788/Config!$B$1</f>
        <v/>
      </c>
      <c r="G1788" s="28" t="inlineStr">
        <is>
          <t>Estimado (mediana de categoría)</t>
        </is>
      </c>
    </row>
    <row r="1789" ht="15" customHeight="1" s="19">
      <c r="A1789" s="24" t="n">
        <v>6197</v>
      </c>
      <c r="B1789" s="25" t="inlineStr">
        <is>
          <t>Generación Automática de Contenido</t>
        </is>
      </c>
      <c r="C1789" s="24" t="inlineStr">
        <is>
          <t>Marketing Digital</t>
        </is>
      </c>
      <c r="D1789" s="25" t="inlineStr">
        <is>
          <t>Generación De Contenido Automático</t>
        </is>
      </c>
      <c r="E1789" s="26" t="n">
        <v>200</v>
      </c>
      <c r="F1789" s="27">
        <f>E1789/Config!$B$1</f>
        <v/>
      </c>
      <c r="G1789" s="24" t="inlineStr">
        <is>
          <t>Real</t>
        </is>
      </c>
    </row>
    <row r="1790" ht="15" customHeight="1" s="19">
      <c r="A1790" s="24" t="n">
        <v>7921</v>
      </c>
      <c r="B1790" s="25" t="inlineStr">
        <is>
          <t>Generación Automática de Contenido</t>
        </is>
      </c>
      <c r="C1790" s="24" t="inlineStr">
        <is>
          <t>Marketing Digital</t>
        </is>
      </c>
      <c r="D1790" s="25" t="inlineStr">
        <is>
          <t>Generación De Contenido Automático</t>
        </is>
      </c>
      <c r="E1790" s="26" t="n">
        <v>1200</v>
      </c>
      <c r="F1790" s="27">
        <f>E1790/Config!$B$1</f>
        <v/>
      </c>
      <c r="G1790" s="28" t="inlineStr">
        <is>
          <t>Estimado (mediana de categoría)</t>
        </is>
      </c>
    </row>
    <row r="1791" ht="15" customHeight="1" s="19">
      <c r="A1791" s="24" t="n">
        <v>6813</v>
      </c>
      <c r="B1791" s="25" t="inlineStr">
        <is>
          <t>Generación De Leads</t>
        </is>
      </c>
      <c r="C1791" s="24" t="inlineStr">
        <is>
          <t>Marketing Digital</t>
        </is>
      </c>
      <c r="D1791" s="25" t="inlineStr">
        <is>
          <t>Generación Y Automatización De Leads.</t>
        </is>
      </c>
      <c r="E1791" s="26" t="n">
        <v>2200</v>
      </c>
      <c r="F1791" s="27">
        <f>E1791/Config!$B$1</f>
        <v/>
      </c>
      <c r="G1791" s="24" t="inlineStr">
        <is>
          <t>Real</t>
        </is>
      </c>
    </row>
    <row r="1792" ht="15" customHeight="1" s="19">
      <c r="A1792" s="24" t="n">
        <v>6178</v>
      </c>
      <c r="B1792" s="25" t="inlineStr">
        <is>
          <t>Generación de Contenido Personalizado</t>
        </is>
      </c>
      <c r="C1792" s="24" t="inlineStr">
        <is>
          <t>Marketing Digital</t>
        </is>
      </c>
      <c r="D1792" s="25" t="inlineStr">
        <is>
          <t>Generación De Contenido Personalizado</t>
        </is>
      </c>
      <c r="E1792" s="26" t="n">
        <v>3500</v>
      </c>
      <c r="F1792" s="27">
        <f>E1792/Config!$B$1</f>
        <v/>
      </c>
      <c r="G1792" s="24" t="inlineStr">
        <is>
          <t>Real</t>
        </is>
      </c>
    </row>
    <row r="1793" ht="15" customHeight="1" s="19">
      <c r="A1793" s="24" t="n">
        <v>7902</v>
      </c>
      <c r="B1793" s="25" t="inlineStr">
        <is>
          <t>Generación de Contenido Personalizado</t>
        </is>
      </c>
      <c r="C1793" s="24" t="inlineStr">
        <is>
          <t>Marketing Digital</t>
        </is>
      </c>
      <c r="D1793" s="25" t="inlineStr">
        <is>
          <t>Generación De Contenido Personalizado</t>
        </is>
      </c>
      <c r="E1793" s="26" t="n">
        <v>1200</v>
      </c>
      <c r="F1793" s="27">
        <f>E1793/Config!$B$1</f>
        <v/>
      </c>
      <c r="G1793" s="28" t="inlineStr">
        <is>
          <t>Estimado (mediana de categoría)</t>
        </is>
      </c>
    </row>
    <row r="1794" ht="15" customHeight="1" s="19">
      <c r="A1794" s="24" t="n">
        <v>6134</v>
      </c>
      <c r="B1794" s="25" t="inlineStr">
        <is>
          <t>Generación de Contenido Personalizado y Relevante</t>
        </is>
      </c>
      <c r="C1794" s="24" t="inlineStr">
        <is>
          <t>Marketing Digital</t>
        </is>
      </c>
      <c r="D1794" s="25" t="inlineStr">
        <is>
          <t>Creación De Contenido</t>
        </is>
      </c>
      <c r="E1794" s="26" t="n">
        <v>3800</v>
      </c>
      <c r="F1794" s="27">
        <f>E1794/Config!$B$1</f>
        <v/>
      </c>
      <c r="G1794" s="24" t="inlineStr">
        <is>
          <t>Real</t>
        </is>
      </c>
    </row>
    <row r="1795" ht="15" customHeight="1" s="19">
      <c r="A1795" s="24" t="n">
        <v>7858</v>
      </c>
      <c r="B1795" s="25" t="inlineStr">
        <is>
          <t>Generación de Contenido Personalizado y Relevante</t>
        </is>
      </c>
      <c r="C1795" s="24" t="inlineStr">
        <is>
          <t>Marketing Digital</t>
        </is>
      </c>
      <c r="D1795" s="25" t="inlineStr">
        <is>
          <t>Creación De Contenido</t>
        </is>
      </c>
      <c r="E1795" s="26" t="n">
        <v>1200</v>
      </c>
      <c r="F1795" s="27">
        <f>E1795/Config!$B$1</f>
        <v/>
      </c>
      <c r="G1795" s="28" t="inlineStr">
        <is>
          <t>Estimado (mediana de categoría)</t>
        </is>
      </c>
    </row>
    <row r="1796" ht="15" customHeight="1" s="19">
      <c r="A1796" s="24" t="n">
        <v>6816</v>
      </c>
      <c r="B1796" s="25" t="inlineStr">
        <is>
          <t>Generación de Leads y Automatización de Marketing</t>
        </is>
      </c>
      <c r="C1796" s="24" t="inlineStr">
        <is>
          <t>Marketing Digital</t>
        </is>
      </c>
      <c r="D1796" s="25" t="inlineStr">
        <is>
          <t>Generación De Leads.</t>
        </is>
      </c>
      <c r="E1796" s="26" t="n">
        <v>2700</v>
      </c>
      <c r="F1796" s="27">
        <f>E1796/Config!$B$1</f>
        <v/>
      </c>
      <c r="G1796" s="24" t="inlineStr">
        <is>
          <t>Real</t>
        </is>
      </c>
    </row>
    <row r="1797" ht="15" customHeight="1" s="19">
      <c r="A1797" s="24" t="n">
        <v>7569</v>
      </c>
      <c r="B1797" s="25" t="inlineStr">
        <is>
          <t>Generación de contenidos de marketing con IA</t>
        </is>
      </c>
      <c r="C1797" s="24" t="inlineStr">
        <is>
          <t>Marketing Digital</t>
        </is>
      </c>
      <c r="D1797" s="25" t="inlineStr">
        <is>
          <t>Contenidos De Marketing Con Ia</t>
        </is>
      </c>
      <c r="E1797" s="26" t="n">
        <v>900</v>
      </c>
      <c r="F1797" s="27">
        <f>E1797/Config!$B$1</f>
        <v/>
      </c>
      <c r="G1797" s="24" t="inlineStr">
        <is>
          <t>Real</t>
        </is>
      </c>
    </row>
    <row r="1798" ht="23.25" customHeight="1" s="19">
      <c r="A1798" s="24" t="n">
        <v>6263</v>
      </c>
      <c r="B1798" s="25" t="inlineStr">
        <is>
          <t>Gestion de Anuncios Facebook (no incluye monto de pauta)</t>
        </is>
      </c>
      <c r="C1798" s="24" t="inlineStr">
        <is>
          <t>Marketing Digital</t>
        </is>
      </c>
      <c r="D1798" s="25" t="inlineStr">
        <is>
          <t>Gestión De Anuncios Facebook</t>
        </is>
      </c>
      <c r="E1798" s="26" t="n">
        <v>1200</v>
      </c>
      <c r="F1798" s="27">
        <f>E1798/Config!$B$1</f>
        <v/>
      </c>
      <c r="G1798" s="28" t="inlineStr">
        <is>
          <t>Estimado (mediana de categoría)</t>
        </is>
      </c>
    </row>
    <row r="1799" ht="34.5" customHeight="1" s="19">
      <c r="A1799" s="24" t="n">
        <v>6265</v>
      </c>
      <c r="B1799" s="25" t="inlineStr">
        <is>
          <t>Gestion de Anuncios Facebook con contenido nivel intermedio entre 5 y 10 posteos (no incluye monto de pauta)</t>
        </is>
      </c>
      <c r="C1799" s="24" t="inlineStr">
        <is>
          <t>Marketing Digital</t>
        </is>
      </c>
      <c r="D1799" s="25" t="inlineStr">
        <is>
          <t>Gestión De Anuncios Facebook Con Contenido Intermedio</t>
        </is>
      </c>
      <c r="E1799" s="26" t="n">
        <v>499</v>
      </c>
      <c r="F1799" s="27">
        <f>E1799/Config!$B$1</f>
        <v/>
      </c>
      <c r="G1799" s="24" t="inlineStr">
        <is>
          <t>Real</t>
        </is>
      </c>
    </row>
    <row r="1800" ht="34.5" customHeight="1" s="19">
      <c r="A1800" s="24" t="n">
        <v>7987</v>
      </c>
      <c r="B1800" s="25" t="inlineStr">
        <is>
          <t>Gestion de Anuncios Facebook con contenido nivel intermedio entre 5 y 10 posteos (no incluye monto de pauta)</t>
        </is>
      </c>
      <c r="C1800" s="24" t="inlineStr">
        <is>
          <t>Marketing Digital</t>
        </is>
      </c>
      <c r="D1800" s="25" t="inlineStr">
        <is>
          <t>Gestión De Anuncios Facebook Con Contenido Intermedio</t>
        </is>
      </c>
      <c r="E1800" s="26" t="n">
        <v>1200</v>
      </c>
      <c r="F1800" s="27">
        <f>E1800/Config!$B$1</f>
        <v/>
      </c>
      <c r="G1800" s="28" t="inlineStr">
        <is>
          <t>Estimado (mediana de categoría)</t>
        </is>
      </c>
    </row>
    <row r="1801" ht="34.5" customHeight="1" s="19">
      <c r="A1801" s="24" t="n">
        <v>6264</v>
      </c>
      <c r="B1801" s="25" t="inlineStr">
        <is>
          <t>Gestion de Anuncios y Creacion de contenido basico Facebook entre 1 y 5 posteos (no incluye monto de pauta)</t>
        </is>
      </c>
      <c r="C1801" s="24" t="inlineStr">
        <is>
          <t>Marketing Digital</t>
        </is>
      </c>
      <c r="D1801" s="25" t="inlineStr">
        <is>
          <t>Gestión De Anuncios Y Creación De Contenido Básico Facebook</t>
        </is>
      </c>
      <c r="E1801" s="26" t="n">
        <v>299</v>
      </c>
      <c r="F1801" s="27">
        <f>E1801/Config!$B$1</f>
        <v/>
      </c>
      <c r="G1801" s="24" t="inlineStr">
        <is>
          <t>Real</t>
        </is>
      </c>
    </row>
    <row r="1802" ht="34.5" customHeight="1" s="19">
      <c r="A1802" s="24" t="n">
        <v>7986</v>
      </c>
      <c r="B1802" s="25" t="inlineStr">
        <is>
          <t>Gestion de Anuncios y Creacion de contenido basico Facebook entre 1 y 5 posteos (no incluye monto de pauta)</t>
        </is>
      </c>
      <c r="C1802" s="24" t="inlineStr">
        <is>
          <t>Marketing Digital</t>
        </is>
      </c>
      <c r="D1802" s="25" t="inlineStr">
        <is>
          <t>Gestión De Anuncios Y Creación De Contenido Básico Facebook</t>
        </is>
      </c>
      <c r="E1802" s="26" t="n">
        <v>1200</v>
      </c>
      <c r="F1802" s="27">
        <f>E1802/Config!$B$1</f>
        <v/>
      </c>
      <c r="G1802" s="28" t="inlineStr">
        <is>
          <t>Estimado (mediana de categoría)</t>
        </is>
      </c>
    </row>
    <row r="1803" ht="15" customHeight="1" s="19">
      <c r="A1803" s="24" t="n">
        <v>7578</v>
      </c>
      <c r="B1803" s="25" t="inlineStr">
        <is>
          <t>Gestión de Anuncios Facebook</t>
        </is>
      </c>
      <c r="C1803" s="24" t="inlineStr">
        <is>
          <t>Marketing Digital</t>
        </is>
      </c>
      <c r="D1803" s="25" t="inlineStr">
        <is>
          <t>Gestión De Anuncios En Facebook</t>
        </is>
      </c>
      <c r="E1803" s="26" t="n">
        <v>270</v>
      </c>
      <c r="F1803" s="27">
        <f>E1803/Config!$B$1</f>
        <v/>
      </c>
      <c r="G1803" s="24" t="inlineStr">
        <is>
          <t>Real</t>
        </is>
      </c>
    </row>
    <row r="1804" ht="23.25" customHeight="1" s="19">
      <c r="A1804" s="24" t="n">
        <v>6282</v>
      </c>
      <c r="B1804" s="25" t="inlineStr">
        <is>
          <t>Gestión de Campañas de Marketing con IA</t>
        </is>
      </c>
      <c r="C1804" s="24" t="inlineStr">
        <is>
          <t>Marketing Digital</t>
        </is>
      </c>
      <c r="D1804" s="25" t="inlineStr">
        <is>
          <t>Plataforma De Gestión De Campañas De Marketing Con Ia</t>
        </is>
      </c>
      <c r="E1804" s="26" t="n">
        <v>249</v>
      </c>
      <c r="F1804" s="27">
        <f>E1804/Config!$B$1</f>
        <v/>
      </c>
      <c r="G1804" s="24" t="inlineStr">
        <is>
          <t>Real</t>
        </is>
      </c>
    </row>
    <row r="1805" ht="23.25" customHeight="1" s="19">
      <c r="A1805" s="24" t="n">
        <v>7995</v>
      </c>
      <c r="B1805" s="25" t="inlineStr">
        <is>
          <t>Gestión de Campañas de Marketing con IA</t>
        </is>
      </c>
      <c r="C1805" s="24" t="inlineStr">
        <is>
          <t>Marketing Digital</t>
        </is>
      </c>
      <c r="D1805" s="25" t="inlineStr">
        <is>
          <t>Plataforma De Gestión De Campañas De Marketing Con Ia</t>
        </is>
      </c>
      <c r="E1805" s="26" t="n">
        <v>1200</v>
      </c>
      <c r="F1805" s="27">
        <f>E1805/Config!$B$1</f>
        <v/>
      </c>
      <c r="G1805" s="28" t="inlineStr">
        <is>
          <t>Estimado (mediana de categoría)</t>
        </is>
      </c>
    </row>
    <row r="1806" ht="15" customHeight="1" s="19">
      <c r="A1806" s="24" t="n">
        <v>6173</v>
      </c>
      <c r="B1806" s="25" t="inlineStr">
        <is>
          <t>Gestión de Redes Sociales</t>
        </is>
      </c>
      <c r="C1806" s="24" t="inlineStr">
        <is>
          <t>Marketing Digital</t>
        </is>
      </c>
      <c r="D1806" s="25" t="inlineStr">
        <is>
          <t>Gestión De Redes Sociales</t>
        </is>
      </c>
      <c r="E1806" s="26" t="n">
        <v>2500</v>
      </c>
      <c r="F1806" s="27">
        <f>E1806/Config!$B$1</f>
        <v/>
      </c>
      <c r="G1806" s="24" t="inlineStr">
        <is>
          <t>Real</t>
        </is>
      </c>
    </row>
    <row r="1807" ht="15" customHeight="1" s="19">
      <c r="A1807" s="24" t="n">
        <v>7897</v>
      </c>
      <c r="B1807" s="25" t="inlineStr">
        <is>
          <t>Gestión de Redes Sociales</t>
        </is>
      </c>
      <c r="C1807" s="24" t="inlineStr">
        <is>
          <t>Marketing Digital</t>
        </is>
      </c>
      <c r="D1807" s="25" t="inlineStr">
        <is>
          <t>Gestión De Redes Sociales</t>
        </is>
      </c>
      <c r="E1807" s="26" t="n">
        <v>1200</v>
      </c>
      <c r="F1807" s="27">
        <f>E1807/Config!$B$1</f>
        <v/>
      </c>
      <c r="G1807" s="28" t="inlineStr">
        <is>
          <t>Estimado (mediana de categoría)</t>
        </is>
      </c>
    </row>
    <row r="1808" ht="15" customHeight="1" s="19">
      <c r="A1808" s="24" t="n">
        <v>6187</v>
      </c>
      <c r="B1808" s="25" t="inlineStr">
        <is>
          <t>Gestión de Redes Sociales con IA</t>
        </is>
      </c>
      <c r="C1808" s="24" t="inlineStr">
        <is>
          <t>Marketing Digital</t>
        </is>
      </c>
      <c r="D1808" s="25" t="inlineStr">
        <is>
          <t>Gestión De Redes Sociales</t>
        </is>
      </c>
      <c r="E1808" s="26" t="n">
        <v>160</v>
      </c>
      <c r="F1808" s="27">
        <f>E1808/Config!$B$1</f>
        <v/>
      </c>
      <c r="G1808" s="24" t="inlineStr">
        <is>
          <t>Real</t>
        </is>
      </c>
    </row>
    <row r="1809" ht="15" customHeight="1" s="19">
      <c r="A1809" s="24" t="n">
        <v>7911</v>
      </c>
      <c r="B1809" s="25" t="inlineStr">
        <is>
          <t>Gestión de Redes Sociales con IA</t>
        </is>
      </c>
      <c r="C1809" s="24" t="inlineStr">
        <is>
          <t>Marketing Digital</t>
        </is>
      </c>
      <c r="D1809" s="25" t="inlineStr">
        <is>
          <t>Gestión De Redes Sociales</t>
        </is>
      </c>
      <c r="E1809" s="26" t="n">
        <v>1200</v>
      </c>
      <c r="F1809" s="27">
        <f>E1809/Config!$B$1</f>
        <v/>
      </c>
      <c r="G1809" s="28" t="inlineStr">
        <is>
          <t>Estimado (mediana de categoría)</t>
        </is>
      </c>
    </row>
    <row r="1810" ht="34.5" customHeight="1" s="19">
      <c r="A1810" s="24" t="n">
        <v>8278</v>
      </c>
      <c r="B1810" s="25" t="inlineStr">
        <is>
          <t>Gestión de Redes Sociales para Ecommerce: Impulsa tu Marca y Ventas Online</t>
        </is>
      </c>
      <c r="C1810" s="24" t="inlineStr">
        <is>
          <t>Marketing Digital</t>
        </is>
      </c>
      <c r="D1810" s="25" t="inlineStr">
        <is>
          <t>Gestión de Redes Sociales para Ecommerce: Impulsa tu negocio online con contenido atractivo, gestión estratégica y análisis detallados.</t>
        </is>
      </c>
      <c r="E1810" s="26" t="n">
        <v>1200</v>
      </c>
      <c r="F1810" s="27">
        <f>E1810/Config!$B$1</f>
        <v/>
      </c>
      <c r="G1810" s="28" t="inlineStr">
        <is>
          <t>Estimado (mediana de categoría)</t>
        </is>
      </c>
    </row>
    <row r="1811" ht="15" customHeight="1" s="19">
      <c r="A1811" s="24" t="n">
        <v>5894</v>
      </c>
      <c r="B1811" s="25" t="inlineStr">
        <is>
          <t>Graphic Design Services</t>
        </is>
      </c>
      <c r="C1811" s="24" t="inlineStr">
        <is>
          <t>Marketing Digital</t>
        </is>
      </c>
      <c r="D1811" s="25" t="inlineStr">
        <is>
          <t>Diseño Gráfico Personalizado</t>
        </is>
      </c>
      <c r="E1811" s="26" t="n">
        <v>3000</v>
      </c>
      <c r="F1811" s="27">
        <f>E1811/Config!$B$1</f>
        <v/>
      </c>
      <c r="G1811" s="24" t="inlineStr">
        <is>
          <t>Real</t>
        </is>
      </c>
    </row>
    <row r="1812" ht="15" customHeight="1" s="19">
      <c r="A1812" s="24" t="n">
        <v>7570</v>
      </c>
      <c r="B1812" s="25" t="inlineStr">
        <is>
          <t>Identificación de leads calificados</t>
        </is>
      </c>
      <c r="C1812" s="24" t="inlineStr">
        <is>
          <t>Marketing Digital</t>
        </is>
      </c>
      <c r="D1812" s="25" t="inlineStr">
        <is>
          <t>Identificación De Leads</t>
        </is>
      </c>
      <c r="E1812" s="26" t="n">
        <v>1300</v>
      </c>
      <c r="F1812" s="27">
        <f>E1812/Config!$B$1</f>
        <v/>
      </c>
      <c r="G1812" s="24" t="inlineStr">
        <is>
          <t>Real</t>
        </is>
      </c>
    </row>
    <row r="1813" ht="23.25" customHeight="1" s="19">
      <c r="A1813" s="24" t="n">
        <v>8406</v>
      </c>
      <c r="B1813" s="25" t="inlineStr">
        <is>
          <t>Implementación de Cupones y Promociones para Ecommerce: Impulsa tus Ventas y Fideliza Clientes</t>
        </is>
      </c>
      <c r="C1813" s="24" t="inlineStr">
        <is>
          <t>Marketing Digital</t>
        </is>
      </c>
      <c r="D1813" s="25" t="inlineStr">
        <is>
          <t>Implementación de cupones y promociones para ecommerce: impulsa tus ventas y fideliza clientes.</t>
        </is>
      </c>
      <c r="E1813" s="26" t="n">
        <v>1200</v>
      </c>
      <c r="F1813" s="27">
        <f>E1813/Config!$B$1</f>
        <v/>
      </c>
      <c r="G1813" s="28" t="inlineStr">
        <is>
          <t>Estimado (mediana de categoría)</t>
        </is>
      </c>
    </row>
    <row r="1814" ht="23.25" customHeight="1" s="19">
      <c r="A1814" s="24" t="n">
        <v>5971</v>
      </c>
      <c r="B1814" s="25" t="inlineStr">
        <is>
          <t>Implementación de soluciones de automatización de marketing</t>
        </is>
      </c>
      <c r="C1814" s="24" t="inlineStr">
        <is>
          <t>Marketing Digital</t>
        </is>
      </c>
      <c r="D1814" s="25" t="inlineStr">
        <is>
          <t>Automatización De Marketing</t>
        </is>
      </c>
      <c r="E1814" s="26" t="n">
        <v>8100</v>
      </c>
      <c r="F1814" s="27">
        <f>E1814/Config!$B$1</f>
        <v/>
      </c>
      <c r="G1814" s="24" t="inlineStr">
        <is>
          <t>Real</t>
        </is>
      </c>
    </row>
    <row r="1815" ht="23.25" customHeight="1" s="19">
      <c r="A1815" s="24" t="n">
        <v>7734</v>
      </c>
      <c r="B1815" s="25" t="inlineStr">
        <is>
          <t>Implementación de soluciones de automatización de marketing</t>
        </is>
      </c>
      <c r="C1815" s="24" t="inlineStr">
        <is>
          <t>Marketing Digital</t>
        </is>
      </c>
      <c r="D1815" s="25" t="inlineStr">
        <is>
          <t>Automatización De Marketing</t>
        </is>
      </c>
      <c r="E1815" s="26" t="n">
        <v>1200</v>
      </c>
      <c r="F1815" s="27">
        <f>E1815/Config!$B$1</f>
        <v/>
      </c>
      <c r="G1815" s="28" t="inlineStr">
        <is>
          <t>Estimado (mediana de categoría)</t>
        </is>
      </c>
    </row>
    <row r="1816" ht="23.25" customHeight="1" s="19">
      <c r="A1816" s="24" t="n">
        <v>5998</v>
      </c>
      <c r="B1816" s="25" t="inlineStr">
        <is>
          <t>Implementación de soluciones de automatización de marketing y personalización de campañas a escala</t>
        </is>
      </c>
      <c r="C1816" s="24" t="inlineStr">
        <is>
          <t>Marketing Digital</t>
        </is>
      </c>
      <c r="D1816" s="25" t="inlineStr">
        <is>
          <t>Marketing</t>
        </is>
      </c>
      <c r="E1816" s="26" t="n">
        <v>7200</v>
      </c>
      <c r="F1816" s="27">
        <f>E1816/Config!$B$1</f>
        <v/>
      </c>
      <c r="G1816" s="24" t="inlineStr">
        <is>
          <t>Real</t>
        </is>
      </c>
    </row>
    <row r="1817" ht="23.25" customHeight="1" s="19">
      <c r="A1817" s="24" t="n">
        <v>7761</v>
      </c>
      <c r="B1817" s="25" t="inlineStr">
        <is>
          <t>Implementación de soluciones de automatización de marketing y personalización de campañas a escala</t>
        </is>
      </c>
      <c r="C1817" s="24" t="inlineStr">
        <is>
          <t>Marketing Digital</t>
        </is>
      </c>
      <c r="D1817" s="25" t="inlineStr">
        <is>
          <t>Marketing</t>
        </is>
      </c>
      <c r="E1817" s="26" t="n">
        <v>1200</v>
      </c>
      <c r="F1817" s="27">
        <f>E1817/Config!$B$1</f>
        <v/>
      </c>
      <c r="G1817" s="28" t="inlineStr">
        <is>
          <t>Estimado (mediana de categoría)</t>
        </is>
      </c>
    </row>
    <row r="1818" ht="45.75" customHeight="1" s="19">
      <c r="A1818" s="24" t="n">
        <v>7459</v>
      </c>
      <c r="B1818" s="25" t="inlineStr">
        <is>
          <t>Informe de Optimización SEO: Mejora tu Posicionamiento en Buscadores</t>
        </is>
      </c>
      <c r="C1818" s="24" t="inlineStr">
        <is>
          <t>Marketing Digital</t>
        </is>
      </c>
      <c r="D1818" s="25" t="inlineStr">
        <is>
          <t>Informe de Optimización SEO: La clave para el éxito en línea. Análisis exhaustivo, recomendaciones personalizadas y seguimiento de resultados para mejorar la visibilidad, el tráfico y las conversiones.</t>
        </is>
      </c>
      <c r="E1818" s="26" t="n">
        <v>1200</v>
      </c>
      <c r="F1818" s="27">
        <f>E1818/Config!$B$1</f>
        <v/>
      </c>
      <c r="G1818" s="28" t="inlineStr">
        <is>
          <t>Estimado (mediana de categoría)</t>
        </is>
      </c>
    </row>
    <row r="1819" ht="23.25" customHeight="1" s="19">
      <c r="A1819" s="24" t="n">
        <v>5911</v>
      </c>
      <c r="B1819" s="25" t="inlineStr">
        <is>
          <t>Integración en Estrategias de Marketing</t>
        </is>
      </c>
      <c r="C1819" s="24" t="inlineStr">
        <is>
          <t>Marketing Digital</t>
        </is>
      </c>
      <c r="D1819" s="25" t="inlineStr">
        <is>
          <t>Integración De Marketing Con Herramientas Open Source</t>
        </is>
      </c>
      <c r="E1819" s="26" t="n">
        <v>4000</v>
      </c>
      <c r="F1819" s="27">
        <f>E1819/Config!$B$1</f>
        <v/>
      </c>
      <c r="G1819" s="24" t="inlineStr">
        <is>
          <t>Real</t>
        </is>
      </c>
    </row>
    <row r="1820" ht="23.25" customHeight="1" s="19">
      <c r="A1820" s="24" t="n">
        <v>7693</v>
      </c>
      <c r="B1820" s="25" t="inlineStr">
        <is>
          <t>Integración en Estrategias de Marketing</t>
        </is>
      </c>
      <c r="C1820" s="24" t="inlineStr">
        <is>
          <t>Marketing Digital</t>
        </is>
      </c>
      <c r="D1820" s="25" t="inlineStr">
        <is>
          <t>Integración De Marketing Con Herramientas Open Source</t>
        </is>
      </c>
      <c r="E1820" s="26" t="n">
        <v>1200</v>
      </c>
      <c r="F1820" s="27">
        <f>E1820/Config!$B$1</f>
        <v/>
      </c>
      <c r="G1820" s="28" t="inlineStr">
        <is>
          <t>Estimado (mediana de categoría)</t>
        </is>
      </c>
    </row>
    <row r="1821" ht="15" customHeight="1" s="19">
      <c r="A1821" s="24" t="n">
        <v>5896</v>
      </c>
      <c r="B1821" s="25" t="inlineStr">
        <is>
          <t>Keyword Optimization for SEO</t>
        </is>
      </c>
      <c r="C1821" s="24" t="inlineStr">
        <is>
          <t>Marketing Digital</t>
        </is>
      </c>
      <c r="D1821" s="25" t="inlineStr">
        <is>
          <t>Optimización De Palabras Clave</t>
        </is>
      </c>
      <c r="E1821" s="26" t="n">
        <v>1500</v>
      </c>
      <c r="F1821" s="27">
        <f>E1821/Config!$B$1</f>
        <v/>
      </c>
      <c r="G1821" s="24" t="inlineStr">
        <is>
          <t>Real</t>
        </is>
      </c>
    </row>
    <row r="1822" ht="15" customHeight="1" s="19">
      <c r="A1822" s="24" t="n">
        <v>7678</v>
      </c>
      <c r="B1822" s="25" t="inlineStr">
        <is>
          <t>Keyword Optimization for SEO</t>
        </is>
      </c>
      <c r="C1822" s="24" t="inlineStr">
        <is>
          <t>Marketing Digital</t>
        </is>
      </c>
      <c r="D1822" s="25" t="inlineStr">
        <is>
          <t>Optimización De Palabras Clave</t>
        </is>
      </c>
      <c r="E1822" s="26" t="n">
        <v>1200</v>
      </c>
      <c r="F1822" s="27">
        <f>E1822/Config!$B$1</f>
        <v/>
      </c>
      <c r="G1822" s="28" t="inlineStr">
        <is>
          <t>Estimado (mediana de categoría)</t>
        </is>
      </c>
    </row>
    <row r="1823" ht="15" customHeight="1" s="19">
      <c r="A1823" s="24" t="n">
        <v>6283</v>
      </c>
      <c r="B1823" s="25" t="inlineStr">
        <is>
          <t>Lead Scoring con IA</t>
        </is>
      </c>
      <c r="C1823" s="24" t="inlineStr">
        <is>
          <t>Marketing Digital</t>
        </is>
      </c>
      <c r="D1823" s="25" t="inlineStr">
        <is>
          <t>Solución De Lead Scoring Basada En Ia</t>
        </is>
      </c>
      <c r="E1823" s="26" t="n">
        <v>99</v>
      </c>
      <c r="F1823" s="27">
        <f>E1823/Config!$B$1</f>
        <v/>
      </c>
      <c r="G1823" s="24" t="inlineStr">
        <is>
          <t>Real</t>
        </is>
      </c>
    </row>
    <row r="1824" ht="15" customHeight="1" s="19">
      <c r="A1824" s="24" t="n">
        <v>7996</v>
      </c>
      <c r="B1824" s="25" t="inlineStr">
        <is>
          <t>Lead Scoring con IA</t>
        </is>
      </c>
      <c r="C1824" s="24" t="inlineStr">
        <is>
          <t>Marketing Digital</t>
        </is>
      </c>
      <c r="D1824" s="25" t="inlineStr">
        <is>
          <t>Solución De Lead Scoring Basada En Ia</t>
        </is>
      </c>
      <c r="E1824" s="26" t="n">
        <v>1200</v>
      </c>
      <c r="F1824" s="27">
        <f>E1824/Config!$B$1</f>
        <v/>
      </c>
      <c r="G1824" s="28" t="inlineStr">
        <is>
          <t>Estimado (mediana de categoría)</t>
        </is>
      </c>
    </row>
    <row r="1825" ht="15" customHeight="1" s="19">
      <c r="A1825" s="24" t="n">
        <v>6065</v>
      </c>
      <c r="B1825" s="25" t="inlineStr">
        <is>
          <t>Marketing Digital</t>
        </is>
      </c>
      <c r="C1825" s="24" t="inlineStr">
        <is>
          <t>Marketing Digital</t>
        </is>
      </c>
      <c r="D1825" s="25" t="inlineStr">
        <is>
          <t>Segmentación De Mercado</t>
        </is>
      </c>
      <c r="E1825" s="26" t="n">
        <v>1200</v>
      </c>
      <c r="F1825" s="27">
        <f>E1825/Config!$B$1</f>
        <v/>
      </c>
      <c r="G1825" s="28" t="inlineStr">
        <is>
          <t>Estimado (mediana de categoría)</t>
        </is>
      </c>
    </row>
    <row r="1826" ht="23.25" customHeight="1" s="19">
      <c r="A1826" s="24" t="n">
        <v>6636</v>
      </c>
      <c r="B1826" s="25" t="inlineStr">
        <is>
          <t>Marketing Digital con IA</t>
        </is>
      </c>
      <c r="C1826" s="24" t="inlineStr">
        <is>
          <t>Marketing Digital</t>
        </is>
      </c>
      <c r="D1826" s="25" t="inlineStr">
        <is>
          <t>Optimización De Estrategias De Marketing Digital Con Ia.</t>
        </is>
      </c>
      <c r="E1826" s="26" t="n">
        <v>1000</v>
      </c>
      <c r="F1826" s="27">
        <f>E1826/Config!$B$1</f>
        <v/>
      </c>
      <c r="G1826" s="24" t="inlineStr">
        <is>
          <t>Real</t>
        </is>
      </c>
    </row>
    <row r="1827" ht="23.25" customHeight="1" s="19">
      <c r="A1827" s="24" t="n">
        <v>8337</v>
      </c>
      <c r="B1827" s="25" t="inlineStr">
        <is>
          <t>Marketing Digital con IA</t>
        </is>
      </c>
      <c r="C1827" s="24" t="inlineStr">
        <is>
          <t>Marketing Digital</t>
        </is>
      </c>
      <c r="D1827" s="25" t="inlineStr">
        <is>
          <t>Optimización De Estrategias De Marketing Digital Con Ia.</t>
        </is>
      </c>
      <c r="E1827" s="26" t="n">
        <v>1200</v>
      </c>
      <c r="F1827" s="27">
        <f>E1827/Config!$B$1</f>
        <v/>
      </c>
      <c r="G1827" s="28" t="inlineStr">
        <is>
          <t>Estimado (mediana de categoría)</t>
        </is>
      </c>
    </row>
    <row r="1828" ht="15" customHeight="1" s="19">
      <c r="A1828" s="24" t="n">
        <v>7555</v>
      </c>
      <c r="B1828" s="25" t="inlineStr">
        <is>
          <t>Optimización Básica de SEO</t>
        </is>
      </c>
      <c r="C1828" s="24" t="inlineStr">
        <is>
          <t>Marketing Digital</t>
        </is>
      </c>
      <c r="D1828" s="25" t="inlineStr">
        <is>
          <t>Seo Básico</t>
        </is>
      </c>
      <c r="E1828" s="26" t="n">
        <v>120</v>
      </c>
      <c r="F1828" s="27">
        <f>E1828/Config!$B$1</f>
        <v/>
      </c>
      <c r="G1828" s="24" t="inlineStr">
        <is>
          <t>Real</t>
        </is>
      </c>
    </row>
    <row r="1829" ht="23.25" customHeight="1" s="19">
      <c r="A1829" s="24" t="n">
        <v>7482</v>
      </c>
      <c r="B1829" s="25" t="inlineStr">
        <is>
          <t>Optimización SEO Avanzada: Mejora el posicionamiento de tu sitio web</t>
        </is>
      </c>
      <c r="C1829" s="24" t="inlineStr">
        <is>
          <t>Marketing Digital</t>
        </is>
      </c>
      <c r="D1829" s="25" t="inlineStr">
        <is>
          <t>Optimización SEO Avanzada: Impulsa tu presencia en línea y domina los resultados de búsqueda</t>
        </is>
      </c>
      <c r="E1829" s="26" t="n">
        <v>1200</v>
      </c>
      <c r="F1829" s="27">
        <f>E1829/Config!$B$1</f>
        <v/>
      </c>
      <c r="G1829" s="28" t="inlineStr">
        <is>
          <t>Estimado (mediana de categoría)</t>
        </is>
      </c>
    </row>
    <row r="1830" ht="23.25" customHeight="1" s="19">
      <c r="A1830" s="24" t="n">
        <v>7477</v>
      </c>
      <c r="B1830" s="25" t="inlineStr">
        <is>
          <t>Optimización SEO Básica: Mejora el posicionamiento de tu sitio web</t>
        </is>
      </c>
      <c r="C1830" s="24" t="inlineStr">
        <is>
          <t>Marketing Digital</t>
        </is>
      </c>
      <c r="D1830" s="25" t="inlineStr">
        <is>
          <t>Optimización SEO Básica: Impulsa tu presencia online y alcanza nuevas cotas.</t>
        </is>
      </c>
      <c r="E1830" s="26" t="n">
        <v>1200</v>
      </c>
      <c r="F1830" s="27">
        <f>E1830/Config!$B$1</f>
        <v/>
      </c>
      <c r="G1830" s="28" t="inlineStr">
        <is>
          <t>Estimado (mediana de categoría)</t>
        </is>
      </c>
    </row>
    <row r="1831" ht="15" customHeight="1" s="19">
      <c r="A1831" s="24" t="n">
        <v>6806</v>
      </c>
      <c r="B1831" s="25" t="inlineStr">
        <is>
          <t>Optimización SEO Básico</t>
        </is>
      </c>
      <c r="C1831" s="24" t="inlineStr">
        <is>
          <t>Marketing Digital</t>
        </is>
      </c>
      <c r="D1831" s="25" t="inlineStr">
        <is>
          <t>Optimización Seo Básica.</t>
        </is>
      </c>
      <c r="E1831" s="26" t="n">
        <v>130</v>
      </c>
      <c r="F1831" s="27">
        <f>E1831/Config!$B$1</f>
        <v/>
      </c>
      <c r="G1831" s="24" t="inlineStr">
        <is>
          <t>Real</t>
        </is>
      </c>
    </row>
    <row r="1832" ht="45.75" customHeight="1" s="19">
      <c r="A1832" s="24" t="n">
        <v>7487</v>
      </c>
      <c r="B1832" s="25" t="inlineStr">
        <is>
          <t>Optimización SEO Completa: Mejora tu visibilidad online y aumenta tus ventas</t>
        </is>
      </c>
      <c r="C1832" s="24" t="inlineStr">
        <is>
          <t>Marketing Digital</t>
        </is>
      </c>
      <c r="D1832" s="25" t="inlineStr">
        <is>
          <t>Optimización SEO Completa: La clave para el éxito en línea. Mejora tu visibilidad, atrae tráfico calificado y aumenta las conversiones con nuestra solución integral de SEO.</t>
        </is>
      </c>
      <c r="E1832" s="26" t="n">
        <v>1200</v>
      </c>
      <c r="F1832" s="27">
        <f>E1832/Config!$B$1</f>
        <v/>
      </c>
      <c r="G1832" s="28" t="inlineStr">
        <is>
          <t>Estimado (mediana de categoría)</t>
        </is>
      </c>
    </row>
    <row r="1833" ht="68.25" customHeight="1" s="19">
      <c r="A1833" s="24" t="n">
        <v>7492</v>
      </c>
      <c r="B1833" s="25" t="inlineStr">
        <is>
          <t>Optimización SEO Exhaustiva: Mejora tu Posicionamiento y Visibilidad Online</t>
        </is>
      </c>
      <c r="C1833" s="24" t="inlineStr">
        <is>
          <t>Marketing Digital</t>
        </is>
      </c>
      <c r="D1833" s="25" t="inlineStr">
        <is>
          <t>Optimización SEO Exhaustiva: La clave para el éxito en línea. Análisis de palabras clave, optimización de contenido, construcción de enlaces, optimización técnica y seguimiento para mejorar la visibilidad, atraer tráfico calificado, aumentar la autoridad y generar ROI.</t>
        </is>
      </c>
      <c r="E1833" s="26" t="n">
        <v>1200</v>
      </c>
      <c r="F1833" s="27">
        <f>E1833/Config!$B$1</f>
        <v/>
      </c>
      <c r="G1833" s="28" t="inlineStr">
        <is>
          <t>Estimado (mediana de categoría)</t>
        </is>
      </c>
    </row>
    <row r="1834" ht="34.5" customHeight="1" s="19">
      <c r="A1834" s="24" t="n">
        <v>8247</v>
      </c>
      <c r="B1834" s="25" t="inlineStr">
        <is>
          <t>Optimización SEO para E-commerce: Mejora tu Posicionamiento, Tráfico y Conversiones</t>
        </is>
      </c>
      <c r="C1834" s="24" t="inlineStr">
        <is>
          <t>Marketing Digital</t>
        </is>
      </c>
      <c r="D1834" s="25" t="inlineStr">
        <is>
          <t>Servicio de optimización SEO para e-commerce que mejora la visibilidad, atrae tráfico calificado y aumenta las conversiones.</t>
        </is>
      </c>
      <c r="E1834" s="26" t="n">
        <v>1200</v>
      </c>
      <c r="F1834" s="27">
        <f>E1834/Config!$B$1</f>
        <v/>
      </c>
      <c r="G1834" s="28" t="inlineStr">
        <is>
          <t>Estimado (mediana de categoría)</t>
        </is>
      </c>
    </row>
    <row r="1835" ht="23.25" customHeight="1" s="19">
      <c r="A1835" s="24" t="n">
        <v>8360</v>
      </c>
      <c r="B1835" s="25" t="inlineStr">
        <is>
          <t>Optimización SEO para Ecommerce: Impulsa tu tienda virtual al éxito</t>
        </is>
      </c>
      <c r="C1835" s="24" t="inlineStr">
        <is>
          <t>Marketing Digital</t>
        </is>
      </c>
      <c r="D1835" s="25" t="inlineStr">
        <is>
          <t>Optimización SEO para Tiendas Virtuales: Impulsa tu tienda virtual al éxito</t>
        </is>
      </c>
      <c r="E1835" s="26" t="n">
        <v>1200</v>
      </c>
      <c r="F1835" s="27">
        <f>E1835/Config!$B$1</f>
        <v/>
      </c>
      <c r="G1835" s="28" t="inlineStr">
        <is>
          <t>Estimado (mediana de categoría)</t>
        </is>
      </c>
    </row>
    <row r="1836" ht="34.5" customHeight="1" s="19">
      <c r="A1836" s="24" t="n">
        <v>6545</v>
      </c>
      <c r="B1836" s="25" t="inlineStr">
        <is>
          <t>Optimización SEO para Ecommerce: Mejora tu Posicionamiento y Tráfico</t>
        </is>
      </c>
      <c r="C1836" s="24" t="inlineStr">
        <is>
          <t>Marketing Digital</t>
        </is>
      </c>
      <c r="D1836" s="25" t="inlineStr">
        <is>
          <t>Servicio de optimización SEO para e-commerce que mejora la visibilidad, atrae tráfico calificado, aumenta las conversiones y genera un retorno de la inversión.</t>
        </is>
      </c>
      <c r="E1836" s="26" t="n">
        <v>2500</v>
      </c>
      <c r="F1836" s="27">
        <f>E1836/Config!$B$1</f>
        <v/>
      </c>
      <c r="G1836" s="24" t="inlineStr">
        <is>
          <t>Real</t>
        </is>
      </c>
    </row>
    <row r="1837" ht="23.25" customHeight="1" s="19">
      <c r="A1837" s="24" t="n">
        <v>6659</v>
      </c>
      <c r="B1837" s="25" t="inlineStr">
        <is>
          <t>Optimización SEO para Ecommerce: Mejora tu visibilidad y posicionamiento en línea</t>
        </is>
      </c>
      <c r="C1837" s="24" t="inlineStr">
        <is>
          <t>Marketing Digital</t>
        </is>
      </c>
      <c r="D1837" s="25" t="inlineStr">
        <is>
          <t>Optimización SEO para Tiendas Virtuales: Impulsa tu tienda virtual al éxito</t>
        </is>
      </c>
      <c r="E1837" s="26" t="n">
        <v>1000</v>
      </c>
      <c r="F1837" s="27">
        <f>E1837/Config!$B$1</f>
        <v/>
      </c>
      <c r="G1837" s="24" t="inlineStr">
        <is>
          <t>Real</t>
        </is>
      </c>
    </row>
    <row r="1838" ht="15" customHeight="1" s="19">
      <c r="A1838" s="24" t="n">
        <v>6808</v>
      </c>
      <c r="B1838" s="25" t="inlineStr">
        <is>
          <t>Optimización SEO y SEM</t>
        </is>
      </c>
      <c r="C1838" s="24" t="inlineStr">
        <is>
          <t>Marketing Digital</t>
        </is>
      </c>
      <c r="D1838" s="25" t="inlineStr">
        <is>
          <t>Optimización Seo Y Sem.</t>
        </is>
      </c>
      <c r="E1838" s="26" t="n">
        <v>2100</v>
      </c>
      <c r="F1838" s="27">
        <f>E1838/Config!$B$1</f>
        <v/>
      </c>
      <c r="G1838" s="24" t="inlineStr">
        <is>
          <t>Real</t>
        </is>
      </c>
    </row>
    <row r="1839" ht="23.25" customHeight="1" s="19">
      <c r="A1839" s="24" t="n">
        <v>6463</v>
      </c>
      <c r="B1839" s="25" t="inlineStr">
        <is>
          <t>Optimización Seo</t>
        </is>
      </c>
      <c r="C1839" s="24" t="inlineStr">
        <is>
          <t>Marketing Digital</t>
        </is>
      </c>
      <c r="D1839" s="25" t="inlineStr">
        <is>
          <t>Servicio De Optimización De Seo Para Posicionamiento Web.</t>
        </is>
      </c>
      <c r="E1839" s="26" t="n">
        <v>500</v>
      </c>
      <c r="F1839" s="27">
        <f>E1839/Config!$B$1</f>
        <v/>
      </c>
      <c r="G1839" s="24" t="inlineStr">
        <is>
          <t>Real</t>
        </is>
      </c>
    </row>
    <row r="1840" ht="15" customHeight="1" s="19">
      <c r="A1840" s="24" t="n">
        <v>6196</v>
      </c>
      <c r="B1840" s="25" t="inlineStr">
        <is>
          <t>Optimización de Contenido SEO</t>
        </is>
      </c>
      <c r="C1840" s="24" t="inlineStr">
        <is>
          <t>Marketing Digital</t>
        </is>
      </c>
      <c r="D1840" s="25" t="inlineStr">
        <is>
          <t>Optimización Seo</t>
        </is>
      </c>
      <c r="E1840" s="26" t="n">
        <v>180</v>
      </c>
      <c r="F1840" s="27">
        <f>E1840/Config!$B$1</f>
        <v/>
      </c>
      <c r="G1840" s="24" t="inlineStr">
        <is>
          <t>Real</t>
        </is>
      </c>
    </row>
    <row r="1841" ht="15" customHeight="1" s="19">
      <c r="A1841" s="24" t="n">
        <v>7920</v>
      </c>
      <c r="B1841" s="25" t="inlineStr">
        <is>
          <t>Optimización de Contenido SEO</t>
        </is>
      </c>
      <c r="C1841" s="24" t="inlineStr">
        <is>
          <t>Marketing Digital</t>
        </is>
      </c>
      <c r="D1841" s="25" t="inlineStr">
        <is>
          <t>Optimización Seo</t>
        </is>
      </c>
      <c r="E1841" s="26" t="n">
        <v>1200</v>
      </c>
      <c r="F1841" s="27">
        <f>E1841/Config!$B$1</f>
        <v/>
      </c>
      <c r="G1841" s="28" t="inlineStr">
        <is>
          <t>Estimado (mediana de categoría)</t>
        </is>
      </c>
    </row>
    <row r="1842" ht="15" customHeight="1" s="19">
      <c r="A1842" s="24" t="n">
        <v>6192</v>
      </c>
      <c r="B1842" s="25" t="inlineStr">
        <is>
          <t>Optimización de Contenido con IA</t>
        </is>
      </c>
      <c r="C1842" s="24" t="inlineStr">
        <is>
          <t>Marketing Digital</t>
        </is>
      </c>
      <c r="D1842" s="25" t="inlineStr">
        <is>
          <t>Optimización De Contenido Con Ia</t>
        </is>
      </c>
      <c r="E1842" s="26" t="n">
        <v>160</v>
      </c>
      <c r="F1842" s="27">
        <f>E1842/Config!$B$1</f>
        <v/>
      </c>
      <c r="G1842" s="24" t="inlineStr">
        <is>
          <t>Real</t>
        </is>
      </c>
    </row>
    <row r="1843" ht="15" customHeight="1" s="19">
      <c r="A1843" s="24" t="n">
        <v>7916</v>
      </c>
      <c r="B1843" s="25" t="inlineStr">
        <is>
          <t>Optimización de Contenido con IA</t>
        </is>
      </c>
      <c r="C1843" s="24" t="inlineStr">
        <is>
          <t>Marketing Digital</t>
        </is>
      </c>
      <c r="D1843" s="25" t="inlineStr">
        <is>
          <t>Optimización De Contenido Con Ia</t>
        </is>
      </c>
      <c r="E1843" s="26" t="n">
        <v>1200</v>
      </c>
      <c r="F1843" s="27">
        <f>E1843/Config!$B$1</f>
        <v/>
      </c>
      <c r="G1843" s="28" t="inlineStr">
        <is>
          <t>Estimado (mediana de categoría)</t>
        </is>
      </c>
    </row>
    <row r="1844" ht="15" customHeight="1" s="19">
      <c r="A1844" s="24" t="n">
        <v>6210</v>
      </c>
      <c r="B1844" s="25" t="inlineStr">
        <is>
          <t>Optimización de Estrategias Digitales</t>
        </is>
      </c>
      <c r="C1844" s="24" t="inlineStr">
        <is>
          <t>Marketing Digital</t>
        </is>
      </c>
      <c r="D1844" s="25" t="inlineStr">
        <is>
          <t>Optimización Digital</t>
        </is>
      </c>
      <c r="E1844" s="26" t="n">
        <v>230</v>
      </c>
      <c r="F1844" s="27">
        <f>E1844/Config!$B$1</f>
        <v/>
      </c>
      <c r="G1844" s="24" t="inlineStr">
        <is>
          <t>Real</t>
        </is>
      </c>
    </row>
    <row r="1845" ht="15" customHeight="1" s="19">
      <c r="A1845" s="24" t="n">
        <v>7934</v>
      </c>
      <c r="B1845" s="25" t="inlineStr">
        <is>
          <t>Optimización de Estrategias Digitales</t>
        </is>
      </c>
      <c r="C1845" s="24" t="inlineStr">
        <is>
          <t>Marketing Digital</t>
        </is>
      </c>
      <c r="D1845" s="25" t="inlineStr">
        <is>
          <t>Optimización Digital</t>
        </is>
      </c>
      <c r="E1845" s="26" t="n">
        <v>1200</v>
      </c>
      <c r="F1845" s="27">
        <f>E1845/Config!$B$1</f>
        <v/>
      </c>
      <c r="G1845" s="28" t="inlineStr">
        <is>
          <t>Estimado (mediana de categoría)</t>
        </is>
      </c>
    </row>
    <row r="1846" ht="15" customHeight="1" s="19">
      <c r="A1846" s="24" t="n">
        <v>6199</v>
      </c>
      <c r="B1846" s="25" t="inlineStr">
        <is>
          <t>Optimización de Estrategias de Marketing</t>
        </is>
      </c>
      <c r="C1846" s="24" t="inlineStr">
        <is>
          <t>Marketing Digital</t>
        </is>
      </c>
      <c r="D1846" s="25" t="inlineStr">
        <is>
          <t>Optimización De Marketing</t>
        </is>
      </c>
      <c r="E1846" s="26" t="n">
        <v>240</v>
      </c>
      <c r="F1846" s="27">
        <f>E1846/Config!$B$1</f>
        <v/>
      </c>
      <c r="G1846" s="24" t="inlineStr">
        <is>
          <t>Real</t>
        </is>
      </c>
    </row>
    <row r="1847" ht="15" customHeight="1" s="19">
      <c r="A1847" s="24" t="n">
        <v>7923</v>
      </c>
      <c r="B1847" s="25" t="inlineStr">
        <is>
          <t>Optimización de Estrategias de Marketing</t>
        </is>
      </c>
      <c r="C1847" s="24" t="inlineStr">
        <is>
          <t>Marketing Digital</t>
        </is>
      </c>
      <c r="D1847" s="25" t="inlineStr">
        <is>
          <t>Optimización De Marketing</t>
        </is>
      </c>
      <c r="E1847" s="26" t="n">
        <v>1200</v>
      </c>
      <c r="F1847" s="27">
        <f>E1847/Config!$B$1</f>
        <v/>
      </c>
      <c r="G1847" s="28" t="inlineStr">
        <is>
          <t>Estimado (mediana de categoría)</t>
        </is>
      </c>
    </row>
    <row r="1848" ht="23.25" customHeight="1" s="19">
      <c r="A1848" s="24" t="n">
        <v>6159</v>
      </c>
      <c r="B1848" s="25" t="inlineStr">
        <is>
          <t>Optimización de Procesos de Ventas y Generación de Leads</t>
        </is>
      </c>
      <c r="C1848" s="24" t="inlineStr">
        <is>
          <t>Marketing Digital</t>
        </is>
      </c>
      <c r="D1848" s="25" t="inlineStr">
        <is>
          <t>Optimización De Ventas</t>
        </is>
      </c>
      <c r="E1848" s="26" t="n">
        <v>6500</v>
      </c>
      <c r="F1848" s="27">
        <f>E1848/Config!$B$1</f>
        <v/>
      </c>
      <c r="G1848" s="24" t="inlineStr">
        <is>
          <t>Real</t>
        </is>
      </c>
    </row>
    <row r="1849" ht="23.25" customHeight="1" s="19">
      <c r="A1849" s="24" t="n">
        <v>7883</v>
      </c>
      <c r="B1849" s="25" t="inlineStr">
        <is>
          <t>Optimización de Procesos de Ventas y Generación de Leads</t>
        </is>
      </c>
      <c r="C1849" s="24" t="inlineStr">
        <is>
          <t>Marketing Digital</t>
        </is>
      </c>
      <c r="D1849" s="25" t="inlineStr">
        <is>
          <t>Optimización De Ventas</t>
        </is>
      </c>
      <c r="E1849" s="26" t="n">
        <v>1200</v>
      </c>
      <c r="F1849" s="27">
        <f>E1849/Config!$B$1</f>
        <v/>
      </c>
      <c r="G1849" s="28" t="inlineStr">
        <is>
          <t>Estimado (mediana de categoría)</t>
        </is>
      </c>
    </row>
    <row r="1850" ht="15" customHeight="1" s="19">
      <c r="A1850" s="24" t="n">
        <v>6164</v>
      </c>
      <c r="B1850" s="25" t="inlineStr">
        <is>
          <t>Personalización de Experiencias en Tiempo Real</t>
        </is>
      </c>
      <c r="C1850" s="24" t="inlineStr">
        <is>
          <t>Marketing Digital</t>
        </is>
      </c>
      <c r="D1850" s="25" t="inlineStr">
        <is>
          <t>Personalización En Tiempo Real</t>
        </is>
      </c>
      <c r="E1850" s="26" t="n">
        <v>6500</v>
      </c>
      <c r="F1850" s="27">
        <f>E1850/Config!$B$1</f>
        <v/>
      </c>
      <c r="G1850" s="24" t="inlineStr">
        <is>
          <t>Real</t>
        </is>
      </c>
    </row>
    <row r="1851" ht="15" customHeight="1" s="19">
      <c r="A1851" s="24" t="n">
        <v>7888</v>
      </c>
      <c r="B1851" s="25" t="inlineStr">
        <is>
          <t>Personalización de Experiencias en Tiempo Real</t>
        </is>
      </c>
      <c r="C1851" s="24" t="inlineStr">
        <is>
          <t>Marketing Digital</t>
        </is>
      </c>
      <c r="D1851" s="25" t="inlineStr">
        <is>
          <t>Personalización En Tiempo Real</t>
        </is>
      </c>
      <c r="E1851" s="26" t="n">
        <v>1200</v>
      </c>
      <c r="F1851" s="27">
        <f>E1851/Config!$B$1</f>
        <v/>
      </c>
      <c r="G1851" s="28" t="inlineStr">
        <is>
          <t>Estimado (mediana de categoría)</t>
        </is>
      </c>
    </row>
    <row r="1852" ht="15" customHeight="1" s="19">
      <c r="A1852" s="24" t="n">
        <v>6250</v>
      </c>
      <c r="B1852" s="25" t="inlineStr">
        <is>
          <t>Plataforma de Automatización de Tareas de Marketing</t>
        </is>
      </c>
      <c r="C1852" s="24" t="inlineStr">
        <is>
          <t>Marketing Digital</t>
        </is>
      </c>
      <c r="D1852" s="25" t="inlineStr">
        <is>
          <t>Automatización De Tareas De Marketing</t>
        </is>
      </c>
      <c r="E1852" s="26" t="n">
        <v>370</v>
      </c>
      <c r="F1852" s="27">
        <f>E1852/Config!$B$1</f>
        <v/>
      </c>
      <c r="G1852" s="24" t="inlineStr">
        <is>
          <t>Real</t>
        </is>
      </c>
    </row>
    <row r="1853" ht="15" customHeight="1" s="19">
      <c r="A1853" s="24" t="n">
        <v>7974</v>
      </c>
      <c r="B1853" s="25" t="inlineStr">
        <is>
          <t>Plataforma de Automatización de Tareas de Marketing</t>
        </is>
      </c>
      <c r="C1853" s="24" t="inlineStr">
        <is>
          <t>Marketing Digital</t>
        </is>
      </c>
      <c r="D1853" s="25" t="inlineStr">
        <is>
          <t>Automatización De Tareas De Marketing</t>
        </is>
      </c>
      <c r="E1853" s="26" t="n">
        <v>1200</v>
      </c>
      <c r="F1853" s="27">
        <f>E1853/Config!$B$1</f>
        <v/>
      </c>
      <c r="G1853" s="28" t="inlineStr">
        <is>
          <t>Estimado (mediana de categoría)</t>
        </is>
      </c>
    </row>
    <row r="1854" ht="15" customHeight="1" s="19">
      <c r="A1854" s="24" t="n">
        <v>6189</v>
      </c>
      <c r="B1854" s="25" t="inlineStr">
        <is>
          <t>Plataforma de Email Marketing con IA</t>
        </is>
      </c>
      <c r="C1854" s="24" t="inlineStr">
        <is>
          <t>Marketing Digital</t>
        </is>
      </c>
      <c r="D1854" s="25" t="inlineStr">
        <is>
          <t>Email Marketing Con Ia</t>
        </is>
      </c>
      <c r="E1854" s="26" t="n">
        <v>180</v>
      </c>
      <c r="F1854" s="27">
        <f>E1854/Config!$B$1</f>
        <v/>
      </c>
      <c r="G1854" s="24" t="inlineStr">
        <is>
          <t>Real</t>
        </is>
      </c>
    </row>
    <row r="1855" ht="15" customHeight="1" s="19">
      <c r="A1855" s="24" t="n">
        <v>7913</v>
      </c>
      <c r="B1855" s="25" t="inlineStr">
        <is>
          <t>Plataforma de Email Marketing con IA</t>
        </is>
      </c>
      <c r="C1855" s="24" t="inlineStr">
        <is>
          <t>Marketing Digital</t>
        </is>
      </c>
      <c r="D1855" s="25" t="inlineStr">
        <is>
          <t>Email Marketing Con Ia</t>
        </is>
      </c>
      <c r="E1855" s="26" t="n">
        <v>1200</v>
      </c>
      <c r="F1855" s="27">
        <f>E1855/Config!$B$1</f>
        <v/>
      </c>
      <c r="G1855" s="28" t="inlineStr">
        <is>
          <t>Estimado (mediana de categoría)</t>
        </is>
      </c>
    </row>
    <row r="1856" ht="15" customHeight="1" s="19">
      <c r="A1856" s="24" t="n">
        <v>6229</v>
      </c>
      <c r="B1856" s="25" t="inlineStr">
        <is>
          <t>Plataforma de Gestión de Afiliados</t>
        </is>
      </c>
      <c r="C1856" s="24" t="inlineStr">
        <is>
          <t>Marketing Digital</t>
        </is>
      </c>
      <c r="D1856" s="25" t="inlineStr">
        <is>
          <t>Gestión De Programas De Afiliados</t>
        </is>
      </c>
      <c r="E1856" s="26" t="n">
        <v>1050</v>
      </c>
      <c r="F1856" s="27">
        <f>E1856/Config!$B$1</f>
        <v/>
      </c>
      <c r="G1856" s="24" t="inlineStr">
        <is>
          <t>Real</t>
        </is>
      </c>
    </row>
    <row r="1857" ht="15" customHeight="1" s="19">
      <c r="A1857" s="24" t="n">
        <v>7953</v>
      </c>
      <c r="B1857" s="25" t="inlineStr">
        <is>
          <t>Plataforma de Gestión de Afiliados</t>
        </is>
      </c>
      <c r="C1857" s="24" t="inlineStr">
        <is>
          <t>Marketing Digital</t>
        </is>
      </c>
      <c r="D1857" s="25" t="inlineStr">
        <is>
          <t>Gestión De Programas De Afiliados</t>
        </is>
      </c>
      <c r="E1857" s="26" t="n">
        <v>1200</v>
      </c>
      <c r="F1857" s="27">
        <f>E1857/Config!$B$1</f>
        <v/>
      </c>
      <c r="G1857" s="28" t="inlineStr">
        <is>
          <t>Estimado (mediana de categoría)</t>
        </is>
      </c>
    </row>
    <row r="1858" ht="15" customHeight="1" s="19">
      <c r="A1858" s="24" t="n">
        <v>6224</v>
      </c>
      <c r="B1858" s="25" t="inlineStr">
        <is>
          <t>Plataforma de Gestión de Campañas Publicitarias</t>
        </is>
      </c>
      <c r="C1858" s="24" t="inlineStr">
        <is>
          <t>Marketing Digital</t>
        </is>
      </c>
      <c r="D1858" s="25" t="inlineStr">
        <is>
          <t>Gestión De Campañas Publicitarias</t>
        </is>
      </c>
      <c r="E1858" s="26" t="n">
        <v>1200</v>
      </c>
      <c r="F1858" s="27">
        <f>E1858/Config!$B$1</f>
        <v/>
      </c>
      <c r="G1858" s="24" t="inlineStr">
        <is>
          <t>Real</t>
        </is>
      </c>
    </row>
    <row r="1859" ht="15" customHeight="1" s="19">
      <c r="A1859" s="24" t="n">
        <v>7948</v>
      </c>
      <c r="B1859" s="25" t="inlineStr">
        <is>
          <t>Plataforma de Gestión de Campañas Publicitarias</t>
        </is>
      </c>
      <c r="C1859" s="24" t="inlineStr">
        <is>
          <t>Marketing Digital</t>
        </is>
      </c>
      <c r="D1859" s="25" t="inlineStr">
        <is>
          <t>Gestión De Campañas Publicitarias</t>
        </is>
      </c>
      <c r="E1859" s="26" t="n">
        <v>1200</v>
      </c>
      <c r="F1859" s="27">
        <f>E1859/Config!$B$1</f>
        <v/>
      </c>
      <c r="G1859" s="28" t="inlineStr">
        <is>
          <t>Estimado (mediana de categoría)</t>
        </is>
      </c>
    </row>
    <row r="1860" ht="15" customHeight="1" s="19">
      <c r="A1860" s="24" t="n">
        <v>6241</v>
      </c>
      <c r="B1860" s="25" t="inlineStr">
        <is>
          <t>Plataforma de Gestión de Redes Sociales</t>
        </is>
      </c>
      <c r="C1860" s="24" t="inlineStr">
        <is>
          <t>Marketing Digital</t>
        </is>
      </c>
      <c r="D1860" s="25" t="inlineStr">
        <is>
          <t>Gestión De Redes Sociales</t>
        </is>
      </c>
      <c r="E1860" s="26" t="n">
        <v>280</v>
      </c>
      <c r="F1860" s="27">
        <f>E1860/Config!$B$1</f>
        <v/>
      </c>
      <c r="G1860" s="24" t="inlineStr">
        <is>
          <t>Real</t>
        </is>
      </c>
    </row>
    <row r="1861" ht="15" customHeight="1" s="19">
      <c r="A1861" s="24" t="n">
        <v>7965</v>
      </c>
      <c r="B1861" s="25" t="inlineStr">
        <is>
          <t>Plataforma de Gestión de Redes Sociales</t>
        </is>
      </c>
      <c r="C1861" s="24" t="inlineStr">
        <is>
          <t>Marketing Digital</t>
        </is>
      </c>
      <c r="D1861" s="25" t="inlineStr">
        <is>
          <t>Gestión De Redes Sociales</t>
        </is>
      </c>
      <c r="E1861" s="26" t="n">
        <v>1200</v>
      </c>
      <c r="F1861" s="27">
        <f>E1861/Config!$B$1</f>
        <v/>
      </c>
      <c r="G1861" s="28" t="inlineStr">
        <is>
          <t>Estimado (mediana de categoría)</t>
        </is>
      </c>
    </row>
    <row r="1862" ht="15" customHeight="1" s="19">
      <c r="A1862" s="24" t="n">
        <v>6191</v>
      </c>
      <c r="B1862" s="25" t="inlineStr">
        <is>
          <t>Plataforma de Marketing Digital con IA</t>
        </is>
      </c>
      <c r="C1862" s="24" t="inlineStr">
        <is>
          <t>Marketing Digital</t>
        </is>
      </c>
      <c r="D1862" s="25" t="inlineStr">
        <is>
          <t>Marketing Digital Automatizado</t>
        </is>
      </c>
      <c r="E1862" s="26" t="n">
        <v>230</v>
      </c>
      <c r="F1862" s="27">
        <f>E1862/Config!$B$1</f>
        <v/>
      </c>
      <c r="G1862" s="24" t="inlineStr">
        <is>
          <t>Real</t>
        </is>
      </c>
    </row>
    <row r="1863" ht="15" customHeight="1" s="19">
      <c r="A1863" s="24" t="n">
        <v>7915</v>
      </c>
      <c r="B1863" s="25" t="inlineStr">
        <is>
          <t>Plataforma de Marketing Digital con IA</t>
        </is>
      </c>
      <c r="C1863" s="24" t="inlineStr">
        <is>
          <t>Marketing Digital</t>
        </is>
      </c>
      <c r="D1863" s="25" t="inlineStr">
        <is>
          <t>Marketing Digital Automatizado</t>
        </is>
      </c>
      <c r="E1863" s="26" t="n">
        <v>1200</v>
      </c>
      <c r="F1863" s="27">
        <f>E1863/Config!$B$1</f>
        <v/>
      </c>
      <c r="G1863" s="28" t="inlineStr">
        <is>
          <t>Estimado (mediana de categoría)</t>
        </is>
      </c>
    </row>
    <row r="1864" ht="15" customHeight="1" s="19">
      <c r="A1864" s="24" t="n">
        <v>6236</v>
      </c>
      <c r="B1864" s="25" t="inlineStr">
        <is>
          <t>Plataforma de Marketing de Contenidos</t>
        </is>
      </c>
      <c r="C1864" s="24" t="inlineStr">
        <is>
          <t>Marketing Digital</t>
        </is>
      </c>
      <c r="D1864" s="25" t="inlineStr">
        <is>
          <t>Optimización De Marketing De Contenidos</t>
        </is>
      </c>
      <c r="E1864" s="26" t="n">
        <v>400</v>
      </c>
      <c r="F1864" s="27">
        <f>E1864/Config!$B$1</f>
        <v/>
      </c>
      <c r="G1864" s="24" t="inlineStr">
        <is>
          <t>Real</t>
        </is>
      </c>
    </row>
    <row r="1865" ht="15" customHeight="1" s="19">
      <c r="A1865" s="24" t="n">
        <v>7960</v>
      </c>
      <c r="B1865" s="25" t="inlineStr">
        <is>
          <t>Plataforma de Marketing de Contenidos</t>
        </is>
      </c>
      <c r="C1865" s="24" t="inlineStr">
        <is>
          <t>Marketing Digital</t>
        </is>
      </c>
      <c r="D1865" s="25" t="inlineStr">
        <is>
          <t>Optimización De Marketing De Contenidos</t>
        </is>
      </c>
      <c r="E1865" s="26" t="n">
        <v>1200</v>
      </c>
      <c r="F1865" s="27">
        <f>E1865/Config!$B$1</f>
        <v/>
      </c>
      <c r="G1865" s="28" t="inlineStr">
        <is>
          <t>Estimado (mediana de categoría)</t>
        </is>
      </c>
    </row>
    <row r="1866" ht="15" customHeight="1" s="19">
      <c r="A1866" s="24" t="n">
        <v>6280</v>
      </c>
      <c r="B1866" s="25" t="inlineStr">
        <is>
          <t>Plataformas para Automatización de Marketing</t>
        </is>
      </c>
      <c r="C1866" s="24" t="inlineStr">
        <is>
          <t>Marketing Digital</t>
        </is>
      </c>
      <c r="D1866" s="25" t="inlineStr">
        <is>
          <t>Plataforma De Automatización De Marketing Con Ia</t>
        </is>
      </c>
      <c r="E1866" s="26" t="n">
        <v>149</v>
      </c>
      <c r="F1866" s="27">
        <f>E1866/Config!$B$1</f>
        <v/>
      </c>
      <c r="G1866" s="24" t="inlineStr">
        <is>
          <t>Real</t>
        </is>
      </c>
    </row>
    <row r="1867" ht="15" customHeight="1" s="19">
      <c r="A1867" s="24" t="n">
        <v>7993</v>
      </c>
      <c r="B1867" s="25" t="inlineStr">
        <is>
          <t>Plataformas para Automatización de Marketing</t>
        </is>
      </c>
      <c r="C1867" s="24" t="inlineStr">
        <is>
          <t>Marketing Digital</t>
        </is>
      </c>
      <c r="D1867" s="25" t="inlineStr">
        <is>
          <t>Plataforma De Automatización De Marketing Con Ia</t>
        </is>
      </c>
      <c r="E1867" s="26" t="n">
        <v>1200</v>
      </c>
      <c r="F1867" s="27">
        <f>E1867/Config!$B$1</f>
        <v/>
      </c>
      <c r="G1867" s="28" t="inlineStr">
        <is>
          <t>Estimado (mediana de categoría)</t>
        </is>
      </c>
    </row>
    <row r="1868" ht="23.25" customHeight="1" s="19">
      <c r="A1868" s="24" t="n">
        <v>6512</v>
      </c>
      <c r="B1868" s="25" t="inlineStr">
        <is>
          <t>Posicionamiento SEO</t>
        </is>
      </c>
      <c r="C1868" s="24" t="inlineStr">
        <is>
          <t>Marketing Digital</t>
        </is>
      </c>
      <c r="D1868" s="25" t="inlineStr">
        <is>
          <t>Mejora Del Posicionamiento Web Orgánico A Través De Estrategias De Seo.</t>
        </is>
      </c>
      <c r="E1868" s="26" t="n">
        <v>1500</v>
      </c>
      <c r="F1868" s="27">
        <f>E1868/Config!$B$1</f>
        <v/>
      </c>
      <c r="G1868" s="24" t="inlineStr">
        <is>
          <t>Real</t>
        </is>
      </c>
    </row>
    <row r="1869" ht="23.25" customHeight="1" s="19">
      <c r="A1869" s="24" t="n">
        <v>8214</v>
      </c>
      <c r="B1869" s="25" t="inlineStr">
        <is>
          <t>Posicionamiento SEO</t>
        </is>
      </c>
      <c r="C1869" s="24" t="inlineStr">
        <is>
          <t>Marketing Digital</t>
        </is>
      </c>
      <c r="D1869" s="25" t="inlineStr">
        <is>
          <t>Mejora Del Posicionamiento Web Orgánico A Través De Estrategias De Seo.</t>
        </is>
      </c>
      <c r="E1869" s="26" t="n">
        <v>1200</v>
      </c>
      <c r="F1869" s="27">
        <f>E1869/Config!$B$1</f>
        <v/>
      </c>
      <c r="G1869" s="28" t="inlineStr">
        <is>
          <t>Estimado (mediana de categoría)</t>
        </is>
      </c>
    </row>
    <row r="1870" ht="15" customHeight="1" s="19">
      <c r="A1870" s="24" t="n">
        <v>6818</v>
      </c>
      <c r="B1870" s="25" t="inlineStr">
        <is>
          <t>Producción de Videos Promocionales</t>
        </is>
      </c>
      <c r="C1870" s="24" t="inlineStr">
        <is>
          <t>Marketing Digital</t>
        </is>
      </c>
      <c r="D1870" s="25" t="inlineStr">
        <is>
          <t>Producción De Videos Promocionales</t>
        </is>
      </c>
      <c r="E1870" s="26" t="n">
        <v>1100</v>
      </c>
      <c r="F1870" s="27">
        <f>E1870/Config!$B$1</f>
        <v/>
      </c>
      <c r="G1870" s="24" t="inlineStr">
        <is>
          <t>Real</t>
        </is>
      </c>
    </row>
    <row r="1871" ht="23.25" customHeight="1" s="19">
      <c r="A1871" s="24" t="n">
        <v>6330</v>
      </c>
      <c r="B1871" s="25" t="inlineStr">
        <is>
          <t>Producción de contenido audiovisual</t>
        </is>
      </c>
      <c r="C1871" s="24" t="inlineStr">
        <is>
          <t>Marketing Digital</t>
        </is>
      </c>
      <c r="D1871" s="25" t="inlineStr">
        <is>
          <t>Servicios De Producción De Contenido Audiovisual Para Marketing Y Comunicación.</t>
        </is>
      </c>
      <c r="E1871" s="26" t="n">
        <v>4050</v>
      </c>
      <c r="F1871" s="27">
        <f>E1871/Config!$B$1</f>
        <v/>
      </c>
      <c r="G1871" s="24" t="inlineStr">
        <is>
          <t>Real</t>
        </is>
      </c>
    </row>
    <row r="1872" ht="23.25" customHeight="1" s="19">
      <c r="A1872" s="24" t="n">
        <v>8041</v>
      </c>
      <c r="B1872" s="25" t="inlineStr">
        <is>
          <t>Producción de contenido audiovisual</t>
        </is>
      </c>
      <c r="C1872" s="24" t="inlineStr">
        <is>
          <t>Marketing Digital</t>
        </is>
      </c>
      <c r="D1872" s="25" t="inlineStr">
        <is>
          <t>Servicios De Producción De Contenido Audiovisual Para Marketing Y Comunicación.</t>
        </is>
      </c>
      <c r="E1872" s="26" t="n">
        <v>1200</v>
      </c>
      <c r="F1872" s="27">
        <f>E1872/Config!$B$1</f>
        <v/>
      </c>
      <c r="G1872" s="28" t="inlineStr">
        <is>
          <t>Estimado (mediana de categoría)</t>
        </is>
      </c>
    </row>
    <row r="1873" ht="23.25" customHeight="1" s="19">
      <c r="A1873" s="24" t="n">
        <v>6513</v>
      </c>
      <c r="B1873" s="25" t="inlineStr">
        <is>
          <t>Producción de podcast</t>
        </is>
      </c>
      <c r="C1873" s="24" t="inlineStr">
        <is>
          <t>Marketing Digital</t>
        </is>
      </c>
      <c r="D1873" s="25" t="inlineStr">
        <is>
          <t>Creación De Un Programa De Podcast Para Ofrecer Contenido De Valor A Los Oyentes.</t>
        </is>
      </c>
      <c r="E1873" s="26" t="n">
        <v>1800</v>
      </c>
      <c r="F1873" s="27">
        <f>E1873/Config!$B$1</f>
        <v/>
      </c>
      <c r="G1873" s="24" t="inlineStr">
        <is>
          <t>Real</t>
        </is>
      </c>
    </row>
    <row r="1874" ht="23.25" customHeight="1" s="19">
      <c r="A1874" s="24" t="n">
        <v>8215</v>
      </c>
      <c r="B1874" s="25" t="inlineStr">
        <is>
          <t>Producción de podcast</t>
        </is>
      </c>
      <c r="C1874" s="24" t="inlineStr">
        <is>
          <t>Marketing Digital</t>
        </is>
      </c>
      <c r="D1874" s="25" t="inlineStr">
        <is>
          <t>Creación De Un Programa De Podcast Para Ofrecer Contenido De Valor A Los Oyentes.</t>
        </is>
      </c>
      <c r="E1874" s="26" t="n">
        <v>1200</v>
      </c>
      <c r="F1874" s="27">
        <f>E1874/Config!$B$1</f>
        <v/>
      </c>
      <c r="G1874" s="28" t="inlineStr">
        <is>
          <t>Estimado (mediana de categoría)</t>
        </is>
      </c>
    </row>
    <row r="1875" ht="15" customHeight="1" s="19">
      <c r="A1875" s="24" t="n">
        <v>6467</v>
      </c>
      <c r="B1875" s="25" t="inlineStr">
        <is>
          <t>Producción de video</t>
        </is>
      </c>
      <c r="C1875" s="24" t="inlineStr">
        <is>
          <t>Marketing Digital</t>
        </is>
      </c>
      <c r="D1875" s="25" t="inlineStr">
        <is>
          <t>Servicio De Producción De Videos Profesionales.</t>
        </is>
      </c>
      <c r="E1875" s="26" t="n">
        <v>1000</v>
      </c>
      <c r="F1875" s="27">
        <f>E1875/Config!$B$1</f>
        <v/>
      </c>
      <c r="G1875" s="24" t="inlineStr">
        <is>
          <t>Real</t>
        </is>
      </c>
    </row>
    <row r="1876" ht="15" customHeight="1" s="19">
      <c r="A1876" s="24" t="n">
        <v>8177</v>
      </c>
      <c r="B1876" s="25" t="inlineStr">
        <is>
          <t>Producción de video</t>
        </is>
      </c>
      <c r="C1876" s="24" t="inlineStr">
        <is>
          <t>Marketing Digital</t>
        </is>
      </c>
      <c r="D1876" s="25" t="inlineStr">
        <is>
          <t>Servicio De Producción De Videos Profesionales.</t>
        </is>
      </c>
      <c r="E1876" s="26" t="n">
        <v>1200</v>
      </c>
      <c r="F1876" s="27">
        <f>E1876/Config!$B$1</f>
        <v/>
      </c>
      <c r="G1876" s="28" t="inlineStr">
        <is>
          <t>Estimado (mediana de categoría)</t>
        </is>
      </c>
    </row>
    <row r="1877" ht="15" customHeight="1" s="19">
      <c r="A1877" s="24" t="n">
        <v>6488</v>
      </c>
      <c r="B1877" s="25" t="inlineStr">
        <is>
          <t>Producción de video corporativo</t>
        </is>
      </c>
      <c r="C1877" s="24" t="inlineStr">
        <is>
          <t>Marketing Digital</t>
        </is>
      </c>
      <c r="D1877" s="25" t="inlineStr">
        <is>
          <t>Producción De Videos Corporativos Y De Marca.</t>
        </is>
      </c>
      <c r="E1877" s="26" t="n">
        <v>2000</v>
      </c>
      <c r="F1877" s="27">
        <f>E1877/Config!$B$1</f>
        <v/>
      </c>
      <c r="G1877" s="24" t="inlineStr">
        <is>
          <t>Real</t>
        </is>
      </c>
    </row>
    <row r="1878" ht="15" customHeight="1" s="19">
      <c r="A1878" s="24" t="n">
        <v>8190</v>
      </c>
      <c r="B1878" s="25" t="inlineStr">
        <is>
          <t>Producción de video corporativo</t>
        </is>
      </c>
      <c r="C1878" s="24" t="inlineStr">
        <is>
          <t>Marketing Digital</t>
        </is>
      </c>
      <c r="D1878" s="25" t="inlineStr">
        <is>
          <t>Producción De Videos Corporativos Y De Marca.</t>
        </is>
      </c>
      <c r="E1878" s="26" t="n">
        <v>1200</v>
      </c>
      <c r="F1878" s="27">
        <f>E1878/Config!$B$1</f>
        <v/>
      </c>
      <c r="G1878" s="28" t="inlineStr">
        <is>
          <t>Estimado (mediana de categoría)</t>
        </is>
      </c>
    </row>
    <row r="1879" ht="23.25" customHeight="1" s="19">
      <c r="A1879" s="24" t="n">
        <v>6646</v>
      </c>
      <c r="B1879" s="25" t="inlineStr">
        <is>
          <t>Publicidad en Plataformas de Ecommerce</t>
        </is>
      </c>
      <c r="C1879" s="24" t="inlineStr">
        <is>
          <t>Marketing Digital</t>
        </is>
      </c>
      <c r="D1879" s="25" t="inlineStr">
        <is>
          <t>Publicidad Y Promoción En Plataformas De Comercio Electrónico.</t>
        </is>
      </c>
      <c r="E1879" s="26" t="n">
        <v>1000</v>
      </c>
      <c r="F1879" s="27">
        <f>E1879/Config!$B$1</f>
        <v/>
      </c>
      <c r="G1879" s="24" t="inlineStr">
        <is>
          <t>Real</t>
        </is>
      </c>
    </row>
    <row r="1880" ht="34.5" customHeight="1" s="19">
      <c r="A1880" s="24" t="n">
        <v>8347</v>
      </c>
      <c r="B1880" s="25" t="inlineStr">
        <is>
          <t>Publicidad en Plataformas de Ecommerce: Impulsa tu Visibilidad y Ventas en Amazon, Mercado Libre y AliExpress</t>
        </is>
      </c>
      <c r="C1880" s="24" t="inlineStr">
        <is>
          <t>Marketing Digital</t>
        </is>
      </c>
      <c r="D1880" s="25" t="inlineStr">
        <is>
          <t>Publicidad en plataformas de e-commerce: aumenta tu visibilidad y ventas en Amazon, Mercado Libre y AliExpress</t>
        </is>
      </c>
      <c r="E1880" s="26" t="n">
        <v>1200</v>
      </c>
      <c r="F1880" s="27">
        <f>E1880/Config!$B$1</f>
        <v/>
      </c>
      <c r="G1880" s="28" t="inlineStr">
        <is>
          <t>Estimado (mediana de categoría)</t>
        </is>
      </c>
    </row>
    <row r="1881" ht="15" customHeight="1" s="19">
      <c r="A1881" s="24" t="n">
        <v>6169</v>
      </c>
      <c r="B1881" s="25" t="inlineStr">
        <is>
          <t>Recomendaciones de Productos Personalizadas</t>
        </is>
      </c>
      <c r="C1881" s="24" t="inlineStr">
        <is>
          <t>Marketing Digital</t>
        </is>
      </c>
      <c r="D1881" s="25" t="inlineStr">
        <is>
          <t>Recomendaciones Personalizadas</t>
        </is>
      </c>
      <c r="E1881" s="26" t="n">
        <v>4200</v>
      </c>
      <c r="F1881" s="27">
        <f>E1881/Config!$B$1</f>
        <v/>
      </c>
      <c r="G1881" s="24" t="inlineStr">
        <is>
          <t>Real</t>
        </is>
      </c>
    </row>
    <row r="1882" ht="15" customHeight="1" s="19">
      <c r="A1882" s="24" t="n">
        <v>7893</v>
      </c>
      <c r="B1882" s="25" t="inlineStr">
        <is>
          <t>Recomendaciones de Productos Personalizadas</t>
        </is>
      </c>
      <c r="C1882" s="24" t="inlineStr">
        <is>
          <t>Marketing Digital</t>
        </is>
      </c>
      <c r="D1882" s="25" t="inlineStr">
        <is>
          <t>Recomendaciones Personalizadas</t>
        </is>
      </c>
      <c r="E1882" s="26" t="n">
        <v>1200</v>
      </c>
      <c r="F1882" s="27">
        <f>E1882/Config!$B$1</f>
        <v/>
      </c>
      <c r="G1882" s="28" t="inlineStr">
        <is>
          <t>Estimado (mediana de categoría)</t>
        </is>
      </c>
    </row>
    <row r="1883" ht="15" customHeight="1" s="19">
      <c r="A1883" s="24" t="n">
        <v>6496</v>
      </c>
      <c r="B1883" s="25" t="inlineStr">
        <is>
          <t>Redacción de contenidos</t>
        </is>
      </c>
      <c r="C1883" s="24" t="inlineStr">
        <is>
          <t>Marketing Digital</t>
        </is>
      </c>
      <c r="D1883" s="25" t="inlineStr">
        <is>
          <t>Redacción De Contenidos Persuasivos Y De Calidad.</t>
        </is>
      </c>
      <c r="E1883" s="26" t="n">
        <v>600</v>
      </c>
      <c r="F1883" s="27">
        <f>E1883/Config!$B$1</f>
        <v/>
      </c>
      <c r="G1883" s="24" t="inlineStr">
        <is>
          <t>Real</t>
        </is>
      </c>
    </row>
    <row r="1884" ht="15" customHeight="1" s="19">
      <c r="A1884" s="24" t="n">
        <v>8198</v>
      </c>
      <c r="B1884" s="25" t="inlineStr">
        <is>
          <t>Redacción de contenidos</t>
        </is>
      </c>
      <c r="C1884" s="24" t="inlineStr">
        <is>
          <t>Marketing Digital</t>
        </is>
      </c>
      <c r="D1884" s="25" t="inlineStr">
        <is>
          <t>Redacción De Contenidos Persuasivos Y De Calidad.</t>
        </is>
      </c>
      <c r="E1884" s="26" t="n">
        <v>1200</v>
      </c>
      <c r="F1884" s="27">
        <f>E1884/Config!$B$1</f>
        <v/>
      </c>
      <c r="G1884" s="28" t="inlineStr">
        <is>
          <t>Estimado (mediana de categoría)</t>
        </is>
      </c>
    </row>
    <row r="1885" ht="15" customHeight="1" s="19">
      <c r="A1885" s="24" t="n">
        <v>8164</v>
      </c>
      <c r="B1885" s="25" t="inlineStr">
        <is>
          <t>Redacción de informes</t>
        </is>
      </c>
      <c r="C1885" s="24" t="inlineStr">
        <is>
          <t>Marketing Digital</t>
        </is>
      </c>
      <c r="D1885" s="25" t="inlineStr">
        <is>
          <t>Servicio De Redacción Profesional De Informes.</t>
        </is>
      </c>
      <c r="E1885" s="26" t="n">
        <v>1200</v>
      </c>
      <c r="F1885" s="27">
        <f>E1885/Config!$B$1</f>
        <v/>
      </c>
      <c r="G1885" s="28" t="inlineStr">
        <is>
          <t>Estimado (mediana de categoría)</t>
        </is>
      </c>
    </row>
    <row r="1886" ht="23.25" customHeight="1" s="19">
      <c r="A1886" s="24" t="n">
        <v>6527</v>
      </c>
      <c r="B1886" s="25" t="inlineStr">
        <is>
          <t>Retoque fotográfico</t>
        </is>
      </c>
      <c r="C1886" s="24" t="inlineStr">
        <is>
          <t>Marketing Digital</t>
        </is>
      </c>
      <c r="D1886" s="25" t="inlineStr">
        <is>
          <t>Servicio De Retoque Y Edición Avanzada De Fotografías.</t>
        </is>
      </c>
      <c r="E1886" s="26" t="n">
        <v>400</v>
      </c>
      <c r="F1886" s="27">
        <f>E1886/Config!$B$1</f>
        <v/>
      </c>
      <c r="G1886" s="24" t="inlineStr">
        <is>
          <t>Real</t>
        </is>
      </c>
    </row>
    <row r="1887" ht="23.25" customHeight="1" s="19">
      <c r="A1887" s="24" t="n">
        <v>8229</v>
      </c>
      <c r="B1887" s="25" t="inlineStr">
        <is>
          <t>Retoque fotográfico</t>
        </is>
      </c>
      <c r="C1887" s="24" t="inlineStr">
        <is>
          <t>Marketing Digital</t>
        </is>
      </c>
      <c r="D1887" s="25" t="inlineStr">
        <is>
          <t>Servicio De Retoque Y Edición Avanzada De Fotografías.</t>
        </is>
      </c>
      <c r="E1887" s="26" t="n">
        <v>1200</v>
      </c>
      <c r="F1887" s="27">
        <f>E1887/Config!$B$1</f>
        <v/>
      </c>
      <c r="G1887" s="28" t="inlineStr">
        <is>
          <t>Estimado (mediana de categoría)</t>
        </is>
      </c>
    </row>
    <row r="1888" ht="15" customHeight="1" s="19">
      <c r="A1888" s="24" t="n">
        <v>6133</v>
      </c>
      <c r="B1888" s="25" t="inlineStr">
        <is>
          <t>SEO (Optimización de Motores de Búsqueda)</t>
        </is>
      </c>
      <c r="C1888" s="24" t="inlineStr">
        <is>
          <t>Marketing Digital</t>
        </is>
      </c>
      <c r="D1888" s="25" t="inlineStr">
        <is>
          <t>Optimización Seo</t>
        </is>
      </c>
      <c r="E1888" s="26" t="n">
        <v>4000</v>
      </c>
      <c r="F1888" s="27">
        <f>E1888/Config!$B$1</f>
        <v/>
      </c>
      <c r="G1888" s="24" t="inlineStr">
        <is>
          <t>Real</t>
        </is>
      </c>
    </row>
    <row r="1889" ht="15" customHeight="1" s="19">
      <c r="A1889" s="24" t="n">
        <v>7857</v>
      </c>
      <c r="B1889" s="25" t="inlineStr">
        <is>
          <t>SEO (Optimización de Motores de Búsqueda)</t>
        </is>
      </c>
      <c r="C1889" s="24" t="inlineStr">
        <is>
          <t>Marketing Digital</t>
        </is>
      </c>
      <c r="D1889" s="25" t="inlineStr">
        <is>
          <t>Optimización Seo</t>
        </is>
      </c>
      <c r="E1889" s="26" t="n">
        <v>1200</v>
      </c>
      <c r="F1889" s="27">
        <f>E1889/Config!$B$1</f>
        <v/>
      </c>
      <c r="G1889" s="28" t="inlineStr">
        <is>
          <t>Estimado (mediana de categoría)</t>
        </is>
      </c>
    </row>
    <row r="1890" ht="15" customHeight="1" s="19">
      <c r="A1890" s="24" t="n">
        <v>5881</v>
      </c>
      <c r="B1890" s="25" t="inlineStr">
        <is>
          <t>SEO Basic Package</t>
        </is>
      </c>
      <c r="C1890" s="24" t="inlineStr">
        <is>
          <t>Marketing Digital</t>
        </is>
      </c>
      <c r="D1890" s="25" t="inlineStr">
        <is>
          <t>Seo Básico</t>
        </is>
      </c>
      <c r="E1890" s="26" t="n">
        <v>2000</v>
      </c>
      <c r="F1890" s="27">
        <f>E1890/Config!$B$1</f>
        <v/>
      </c>
      <c r="G1890" s="24" t="inlineStr">
        <is>
          <t>Real</t>
        </is>
      </c>
    </row>
    <row r="1891" ht="15" customHeight="1" s="19">
      <c r="A1891" s="24" t="n">
        <v>7663</v>
      </c>
      <c r="B1891" s="25" t="inlineStr">
        <is>
          <t>SEO Basic Package</t>
        </is>
      </c>
      <c r="C1891" s="24" t="inlineStr">
        <is>
          <t>Marketing Digital</t>
        </is>
      </c>
      <c r="D1891" s="25" t="inlineStr">
        <is>
          <t>Seo Básico</t>
        </is>
      </c>
      <c r="E1891" s="26" t="n">
        <v>1200</v>
      </c>
      <c r="F1891" s="27">
        <f>E1891/Config!$B$1</f>
        <v/>
      </c>
      <c r="G1891" s="28" t="inlineStr">
        <is>
          <t>Estimado (mediana de categoría)</t>
        </is>
      </c>
    </row>
    <row r="1892" ht="23.25" customHeight="1" s="19">
      <c r="A1892" s="24" t="n">
        <v>7468</v>
      </c>
      <c r="B1892" s="25" t="inlineStr">
        <is>
          <t>SEO básico: Optimiza tu sitio web para los motores de búsqueda</t>
        </is>
      </c>
      <c r="C1892" s="24" t="inlineStr">
        <is>
          <t>Marketing Digital</t>
        </is>
      </c>
      <c r="D1892" s="25" t="inlineStr">
        <is>
          <t>SEO básico: la clave para mejorar la visibilidad de tu sitio web</t>
        </is>
      </c>
      <c r="E1892" s="26" t="n">
        <v>1200</v>
      </c>
      <c r="F1892" s="27">
        <f>E1892/Config!$B$1</f>
        <v/>
      </c>
      <c r="G1892" s="28" t="inlineStr">
        <is>
          <t>Estimado (mediana de categoría)</t>
        </is>
      </c>
    </row>
    <row r="1893" ht="23.25" customHeight="1" s="19">
      <c r="A1893" s="24" t="n">
        <v>6057</v>
      </c>
      <c r="B1893" s="25" t="inlineStr">
        <is>
          <t>Segmentación Avanzada para Estrategias de Marketing</t>
        </is>
      </c>
      <c r="C1893" s="24" t="inlineStr">
        <is>
          <t>Marketing Digital</t>
        </is>
      </c>
      <c r="D1893" s="25" t="inlineStr">
        <is>
          <t>Segmentación De Audiencias Y Personalización De Contenido.</t>
        </is>
      </c>
      <c r="E1893" s="26" t="n">
        <v>4000</v>
      </c>
      <c r="F1893" s="27">
        <f>E1893/Config!$B$1</f>
        <v/>
      </c>
      <c r="G1893" s="24" t="inlineStr">
        <is>
          <t>Real</t>
        </is>
      </c>
    </row>
    <row r="1894" ht="23.25" customHeight="1" s="19">
      <c r="A1894" s="24" t="n">
        <v>7792</v>
      </c>
      <c r="B1894" s="25" t="inlineStr">
        <is>
          <t>Segmentación Avanzada para Estrategias de Marketing</t>
        </is>
      </c>
      <c r="C1894" s="24" t="inlineStr">
        <is>
          <t>Marketing Digital</t>
        </is>
      </c>
      <c r="D1894" s="25" t="inlineStr">
        <is>
          <t>Segmentación De Audiencias Y Personalización De Contenido.</t>
        </is>
      </c>
      <c r="E1894" s="26" t="n">
        <v>1200</v>
      </c>
      <c r="F1894" s="27">
        <f>E1894/Config!$B$1</f>
        <v/>
      </c>
      <c r="G1894" s="28" t="inlineStr">
        <is>
          <t>Estimado (mediana de categoría)</t>
        </is>
      </c>
    </row>
    <row r="1895" ht="34.5" customHeight="1" s="19">
      <c r="A1895" s="24" t="n">
        <v>6593</v>
      </c>
      <c r="B1895" s="25" t="inlineStr">
        <is>
          <t>Servicio de Desarrollo de Programa de Afiliación: Aumenta el Tráfico y las Ventas de tu Ecommerce</t>
        </is>
      </c>
      <c r="C1895" s="24" t="inlineStr">
        <is>
          <t>Marketing Digital</t>
        </is>
      </c>
      <c r="D1895" s="25" t="inlineStr">
        <is>
          <t>Servicio de Desarrollo de Programa de Afiliación para E-commerce: Impulsa tu negocio online con alianzas estratégicas.</t>
        </is>
      </c>
      <c r="E1895" s="26" t="n">
        <v>5000</v>
      </c>
      <c r="F1895" s="27">
        <f>E1895/Config!$B$1</f>
        <v/>
      </c>
      <c r="G1895" s="24" t="inlineStr">
        <is>
          <t>Real</t>
        </is>
      </c>
    </row>
    <row r="1896" ht="23.25" customHeight="1" s="19">
      <c r="A1896" s="24" t="n">
        <v>8295</v>
      </c>
      <c r="B1896" s="25" t="inlineStr">
        <is>
          <t>Servicio de Desarrollo de Programa de Afiliación: Impulsa tu E-commerce con Alianzas Estratégicas</t>
        </is>
      </c>
      <c r="C1896" s="24" t="inlineStr">
        <is>
          <t>Marketing Digital</t>
        </is>
      </c>
      <c r="D1896" s="25" t="inlineStr">
        <is>
          <t>Servicio de Desarrollo de Programa de Afiliación: Impulsá tu E-commerce con Alianzas Estratégicas</t>
        </is>
      </c>
      <c r="E1896" s="26" t="n">
        <v>1200</v>
      </c>
      <c r="F1896" s="27">
        <f>E1896/Config!$B$1</f>
        <v/>
      </c>
      <c r="G1896" s="28" t="inlineStr">
        <is>
          <t>Estimado (mediana de categoría)</t>
        </is>
      </c>
    </row>
    <row r="1897" ht="34.5" customHeight="1" s="19">
      <c r="A1897" s="24" t="n">
        <v>6564</v>
      </c>
      <c r="B1897" s="25" t="inlineStr">
        <is>
          <t>Servicio de Email Marketing para Ecommerce: Segmentación, Diseño, Contenido, Monitoreo y Optimización</t>
        </is>
      </c>
      <c r="C1897" s="24" t="inlineStr">
        <is>
          <t>Marketing Digital</t>
        </is>
      </c>
      <c r="D1897" s="25" t="inlineStr">
        <is>
          <t>Servicio de Email Marketing para Ecommerce: Tu aliado para conectar con tus clientes</t>
        </is>
      </c>
      <c r="E1897" s="26" t="n">
        <v>1800</v>
      </c>
      <c r="F1897" s="27">
        <f>E1897/Config!$B$1</f>
        <v/>
      </c>
      <c r="G1897" s="24" t="inlineStr">
        <is>
          <t>Real</t>
        </is>
      </c>
    </row>
    <row r="1898" ht="34.5" customHeight="1" s="19">
      <c r="A1898" s="24" t="n">
        <v>8266</v>
      </c>
      <c r="B1898" s="25" t="inlineStr">
        <is>
          <t>Servicio de Email Marketing para Ecommerce: Segmentación, Diseño, Contenido, Monitoreo y Optimización</t>
        </is>
      </c>
      <c r="C1898" s="24" t="inlineStr">
        <is>
          <t>Marketing Digital</t>
        </is>
      </c>
      <c r="D1898" s="25" t="inlineStr">
        <is>
          <t>Servicio de Email Marketing para Ecommerce: Segmentación, Diseño, Contenido, Monitoreo y Optimización</t>
        </is>
      </c>
      <c r="E1898" s="26" t="n">
        <v>1200</v>
      </c>
      <c r="F1898" s="27">
        <f>E1898/Config!$B$1</f>
        <v/>
      </c>
      <c r="G1898" s="28" t="inlineStr">
        <is>
          <t>Estimado (mediana de categoría)</t>
        </is>
      </c>
    </row>
    <row r="1899" ht="23.25" customHeight="1" s="19">
      <c r="A1899" s="24" t="n">
        <v>6575</v>
      </c>
      <c r="B1899" s="25" t="inlineStr">
        <is>
          <t>Servicio de Gestión de Campañas de Publicidad Digital</t>
        </is>
      </c>
      <c r="C1899" s="24" t="inlineStr">
        <is>
          <t>Marketing Digital</t>
        </is>
      </c>
      <c r="D1899" s="25" t="inlineStr">
        <is>
          <t>Servicio De Gestión De Campañas De Publicidad Digital Para Ecommerce.</t>
        </is>
      </c>
      <c r="E1899" s="26" t="n">
        <v>4000</v>
      </c>
      <c r="F1899" s="27">
        <f>E1899/Config!$B$1</f>
        <v/>
      </c>
      <c r="G1899" s="24" t="inlineStr">
        <is>
          <t>Real</t>
        </is>
      </c>
    </row>
    <row r="1900" ht="57" customHeight="1" s="19">
      <c r="A1900" s="24" t="n">
        <v>8277</v>
      </c>
      <c r="B1900" s="25" t="inlineStr">
        <is>
          <t>Servicio de Gestión de Campañas de Publicidad Digital para Ecommerce: Planificación, Ejecución y Optimización para Maximizar el ROI</t>
        </is>
      </c>
      <c r="C1900" s="24" t="inlineStr">
        <is>
          <t>Marketing Digital</t>
        </is>
      </c>
      <c r="D1900" s="25" t="inlineStr">
        <is>
          <t>Servicio de Gestión de Campañas de Publicidad Digital para Ecommerce: gestión integral, segmentación precisa, análisis avanzado, automatización y reportes detallados para potenciar tu negocio online.</t>
        </is>
      </c>
      <c r="E1900" s="26" t="n">
        <v>1200</v>
      </c>
      <c r="F1900" s="27">
        <f>E1900/Config!$B$1</f>
        <v/>
      </c>
      <c r="G1900" s="28" t="inlineStr">
        <is>
          <t>Estimado (mediana de categoría)</t>
        </is>
      </c>
    </row>
    <row r="1901" ht="15" customHeight="1" s="19">
      <c r="A1901" s="24" t="n">
        <v>6561</v>
      </c>
      <c r="B1901" s="25" t="inlineStr">
        <is>
          <t>Servicio de Gestión de Contenidos</t>
        </is>
      </c>
      <c r="C1901" s="24" t="inlineStr">
        <is>
          <t>Marketing Digital</t>
        </is>
      </c>
      <c r="D1901" s="25" t="inlineStr">
        <is>
          <t>Servicio De Gestión De Contenidos Para Ecommerce.</t>
        </is>
      </c>
      <c r="E1901" s="26" t="n">
        <v>2500</v>
      </c>
      <c r="F1901" s="27">
        <f>E1901/Config!$B$1</f>
        <v/>
      </c>
      <c r="G1901" s="24" t="inlineStr">
        <is>
          <t>Real</t>
        </is>
      </c>
    </row>
    <row r="1902" ht="23.25" customHeight="1" s="19">
      <c r="A1902" s="24" t="n">
        <v>8263</v>
      </c>
      <c r="B1902" s="25" t="inlineStr">
        <is>
          <t>Servicio de Gestión de Contenidos para Ecommerce: Planificación, Creación y Optimización SEO</t>
        </is>
      </c>
      <c r="C1902" s="24" t="inlineStr">
        <is>
          <t>Marketing Digital</t>
        </is>
      </c>
      <c r="D1902" s="25" t="inlineStr">
        <is>
          <t>Servicio de Gestión de Contenidos para Ecommerce: La clave para el éxito en el comercio electrónico.</t>
        </is>
      </c>
      <c r="E1902" s="26" t="n">
        <v>1200</v>
      </c>
      <c r="F1902" s="27">
        <f>E1902/Config!$B$1</f>
        <v/>
      </c>
      <c r="G1902" s="28" t="inlineStr">
        <is>
          <t>Estimado (mediana de categoría)</t>
        </is>
      </c>
    </row>
    <row r="1903" ht="23.25" customHeight="1" s="19">
      <c r="A1903" s="24" t="n">
        <v>6574</v>
      </c>
      <c r="B1903" s="25" t="inlineStr">
        <is>
          <t>Servicio de Gestión de Contenidos y Copywriting</t>
        </is>
      </c>
      <c r="C1903" s="24" t="inlineStr">
        <is>
          <t>Marketing Digital</t>
        </is>
      </c>
      <c r="D1903" s="25" t="inlineStr">
        <is>
          <t>Servicio De Gestión De Contenidos Y Copywriting Para Ecommerce.</t>
        </is>
      </c>
      <c r="E1903" s="26" t="n">
        <v>2000</v>
      </c>
      <c r="F1903" s="27">
        <f>E1903/Config!$B$1</f>
        <v/>
      </c>
      <c r="G1903" s="24" t="inlineStr">
        <is>
          <t>Real</t>
        </is>
      </c>
    </row>
    <row r="1904" ht="23.25" customHeight="1" s="19">
      <c r="A1904" s="24" t="n">
        <v>6586</v>
      </c>
      <c r="B1904" s="25" t="inlineStr">
        <is>
          <t>Servicio de Gestión de Publicidad en Redes Sociales</t>
        </is>
      </c>
      <c r="C1904" s="24" t="inlineStr">
        <is>
          <t>Marketing Digital</t>
        </is>
      </c>
      <c r="D1904" s="25" t="inlineStr">
        <is>
          <t>Servicio De Gestión De Publicidad En Redes Sociales Para Ecommerce.</t>
        </is>
      </c>
      <c r="E1904" s="26" t="n">
        <v>3500</v>
      </c>
      <c r="F1904" s="27">
        <f>E1904/Config!$B$1</f>
        <v/>
      </c>
      <c r="G1904" s="24" t="inlineStr">
        <is>
          <t>Real</t>
        </is>
      </c>
    </row>
    <row r="1905" ht="34.5" customHeight="1" s="19">
      <c r="A1905" s="24" t="n">
        <v>8288</v>
      </c>
      <c r="B1905" s="25" t="inlineStr">
        <is>
          <t>Servicio de Gestión de Publicidad en Redes Sociales para Ecommerce: Aumenta tus Ventas y Fideliza Clientes</t>
        </is>
      </c>
      <c r="C1905" s="24" t="inlineStr">
        <is>
          <t>Marketing Digital</t>
        </is>
      </c>
      <c r="D1905" s="25" t="inlineStr">
        <is>
          <t>Servicio de Gestión de Publicidad en Redes Sociales para Ecommerce: Potencia tu presencia en redes sociales, genera leads y aumenta tus ventas.</t>
        </is>
      </c>
      <c r="E1905" s="26" t="n">
        <v>1200</v>
      </c>
      <c r="F1905" s="27">
        <f>E1905/Config!$B$1</f>
        <v/>
      </c>
      <c r="G1905" s="28" t="inlineStr">
        <is>
          <t>Estimado (mediana de categoría)</t>
        </is>
      </c>
    </row>
    <row r="1906" ht="23.25" customHeight="1" s="19">
      <c r="A1906" s="24" t="n">
        <v>6563</v>
      </c>
      <c r="B1906" s="25" t="inlineStr">
        <is>
          <t>Servicio de Gestión de Redes Sociales</t>
        </is>
      </c>
      <c r="C1906" s="24" t="inlineStr">
        <is>
          <t>Marketing Digital</t>
        </is>
      </c>
      <c r="D1906" s="25" t="inlineStr">
        <is>
          <t>Servicio De Gestión De Redes Sociales Para Ecommerce.</t>
        </is>
      </c>
      <c r="E1906" s="26" t="n">
        <v>2200</v>
      </c>
      <c r="F1906" s="27">
        <f>E1906/Config!$B$1</f>
        <v/>
      </c>
      <c r="G1906" s="24" t="inlineStr">
        <is>
          <t>Real</t>
        </is>
      </c>
    </row>
    <row r="1907" ht="23.25" customHeight="1" s="19">
      <c r="A1907" s="24" t="n">
        <v>6576</v>
      </c>
      <c r="B1907" s="25" t="inlineStr">
        <is>
          <t>Servicio de Gestión de Redes Sociales para Ecommerce</t>
        </is>
      </c>
      <c r="C1907" s="24" t="inlineStr">
        <is>
          <t>Marketing Digital</t>
        </is>
      </c>
      <c r="D1907" s="25" t="inlineStr">
        <is>
          <t>Servicio De Gestión De Redes Sociales Para Ecommerce.</t>
        </is>
      </c>
      <c r="E1907" s="26" t="n">
        <v>3000</v>
      </c>
      <c r="F1907" s="27">
        <f>E1907/Config!$B$1</f>
        <v/>
      </c>
      <c r="G1907" s="24" t="inlineStr">
        <is>
          <t>Real</t>
        </is>
      </c>
    </row>
    <row r="1908" ht="57" customHeight="1" s="19">
      <c r="A1908" s="24" t="n">
        <v>8265</v>
      </c>
      <c r="B1908" s="25" t="inlineStr">
        <is>
          <t>Servicio de Gestión de Redes Sociales para Ecommerce: Aumenta tu Visibilidad, Engagement y Ventas</t>
        </is>
      </c>
      <c r="C1908" s="24" t="inlineStr">
        <is>
          <t>Marketing Digital</t>
        </is>
      </c>
      <c r="D1908" s="25" t="inlineStr">
        <is>
          <t>Servicio de Gestión de Redes Sociales para Ecommerce: Planificación de contenido, gestión de cuentas, análisis, publicidad y marketing de influencers para aumentar el alcance, generar leads y mejorar la reputación de la marca.</t>
        </is>
      </c>
      <c r="E1908" s="26" t="n">
        <v>1200</v>
      </c>
      <c r="F1908" s="27">
        <f>E1908/Config!$B$1</f>
        <v/>
      </c>
      <c r="G1908" s="28" t="inlineStr">
        <is>
          <t>Estimado (mediana de categoría)</t>
        </is>
      </c>
    </row>
    <row r="1909" ht="23.25" customHeight="1" s="19">
      <c r="A1909" s="24" t="n">
        <v>6589</v>
      </c>
      <c r="B1909" s="25" t="inlineStr">
        <is>
          <t>Servicio de Implementación de Estrategia de Email Marketing</t>
        </is>
      </c>
      <c r="C1909" s="24" t="inlineStr">
        <is>
          <t>Marketing Digital</t>
        </is>
      </c>
      <c r="D1909" s="25" t="inlineStr">
        <is>
          <t>Servicio De Implementación De Estrategia De Email Marketing Para Ecommerce.</t>
        </is>
      </c>
      <c r="E1909" s="26" t="n">
        <v>5000</v>
      </c>
      <c r="F1909" s="27">
        <f>E1909/Config!$B$1</f>
        <v/>
      </c>
      <c r="G1909" s="24" t="inlineStr">
        <is>
          <t>Real</t>
        </is>
      </c>
    </row>
    <row r="1910" ht="79.5" customHeight="1" s="19">
      <c r="A1910" s="24" t="n">
        <v>8291</v>
      </c>
      <c r="B1910" s="25" t="inlineStr">
        <is>
          <t>Servicio de Implementación de Estrategia de Email Marketing para Ecommerce: Automatización, Segmentación y Optimización</t>
        </is>
      </c>
      <c r="C1910" s="24" t="inlineStr">
        <is>
          <t>Marketing Digital</t>
        </is>
      </c>
      <c r="D1910" s="25" t="inlineStr">
        <is>
          <t>Servicio de Implementación de Estrategia de Email Marketing para Ecommerce. Segmentación de audiencia, automatización de campañas, optimización de plantillas, seguimiento y análisis de resultados. Mayor alcance, conversiones mejoradas, automatización de procesos, información valiosa y experiencia personalizada.</t>
        </is>
      </c>
      <c r="E1910" s="26" t="n">
        <v>1200</v>
      </c>
      <c r="F1910" s="27">
        <f>E1910/Config!$B$1</f>
        <v/>
      </c>
      <c r="G1910" s="28" t="inlineStr">
        <is>
          <t>Estimado (mediana de categoría)</t>
        </is>
      </c>
    </row>
    <row r="1911" ht="15" customHeight="1" s="19">
      <c r="A1911" s="24" t="n">
        <v>6562</v>
      </c>
      <c r="B1911" s="25" t="inlineStr">
        <is>
          <t>Servicio de Optimización SEO</t>
        </is>
      </c>
      <c r="C1911" s="24" t="inlineStr">
        <is>
          <t>Marketing Digital</t>
        </is>
      </c>
      <c r="D1911" s="25" t="inlineStr">
        <is>
          <t>Servicio De Optimización Seo Para Ecommerce.</t>
        </is>
      </c>
      <c r="E1911" s="26" t="n">
        <v>3500</v>
      </c>
      <c r="F1911" s="27">
        <f>E1911/Config!$B$1</f>
        <v/>
      </c>
      <c r="G1911" s="24" t="inlineStr">
        <is>
          <t>Real</t>
        </is>
      </c>
    </row>
    <row r="1912" ht="45.75" customHeight="1" s="19">
      <c r="A1912" s="24" t="n">
        <v>8264</v>
      </c>
      <c r="B1912" s="25" t="inlineStr">
        <is>
          <t>Servicio de Optimización SEO para Ecommerce: Mejora tu Visibilidad y Genera Más Ventas</t>
        </is>
      </c>
      <c r="C1912" s="24" t="inlineStr">
        <is>
          <t>Marketing Digital</t>
        </is>
      </c>
      <c r="D1912" s="25" t="inlineStr">
        <is>
          <t>Servicio de Optimización SEO para E-commerce: Impulsa tu tienda en línea a la cima de los resultados de búsqueda, aumenta el tráfico, las conversiones y las ventas.</t>
        </is>
      </c>
      <c r="E1912" s="26" t="n">
        <v>1200</v>
      </c>
      <c r="F1912" s="27">
        <f>E1912/Config!$B$1</f>
        <v/>
      </c>
      <c r="G1912" s="28" t="inlineStr">
        <is>
          <t>Estimado (mediana de categoría)</t>
        </is>
      </c>
    </row>
    <row r="1913" ht="15" customHeight="1" s="19">
      <c r="A1913" s="24" t="n">
        <v>6565</v>
      </c>
      <c r="B1913" s="25" t="inlineStr">
        <is>
          <t>Servicio de Publicidad Digital</t>
        </is>
      </c>
      <c r="C1913" s="24" t="inlineStr">
        <is>
          <t>Marketing Digital</t>
        </is>
      </c>
      <c r="D1913" s="25" t="inlineStr">
        <is>
          <t>Servicio De Publicidad Digital Para Ecommerce.</t>
        </is>
      </c>
      <c r="E1913" s="26" t="n">
        <v>4000</v>
      </c>
      <c r="F1913" s="27">
        <f>E1913/Config!$B$1</f>
        <v/>
      </c>
      <c r="G1913" s="24" t="inlineStr">
        <is>
          <t>Real</t>
        </is>
      </c>
    </row>
    <row r="1914" ht="34.5" customHeight="1" s="19">
      <c r="A1914" s="24" t="n">
        <v>8267</v>
      </c>
      <c r="B1914" s="25" t="inlineStr">
        <is>
          <t>Servicio de Publicidad Digital para Ecommerce: Planificación, Creación y Gestión de Campañas para Potenciar tus Ventas</t>
        </is>
      </c>
      <c r="C1914" s="24" t="inlineStr">
        <is>
          <t>Marketing Digital</t>
        </is>
      </c>
      <c r="D1914" s="25" t="inlineStr">
        <is>
          <t>Servicio de Publicidad Digital para Ecommerce: Impulsa tu Negocio Online</t>
        </is>
      </c>
      <c r="E1914" s="26" t="n">
        <v>1200</v>
      </c>
      <c r="F1914" s="27">
        <f>E1914/Config!$B$1</f>
        <v/>
      </c>
      <c r="G1914" s="28" t="inlineStr">
        <is>
          <t>Estimado (mediana de categoría)</t>
        </is>
      </c>
    </row>
    <row r="1915" ht="23.25" customHeight="1" s="19">
      <c r="A1915" s="24" t="n">
        <v>6556</v>
      </c>
      <c r="B1915" s="25" t="inlineStr">
        <is>
          <t>Servicio de Publicidad Paid</t>
        </is>
      </c>
      <c r="C1915" s="24" t="inlineStr">
        <is>
          <t>Marketing Digital</t>
        </is>
      </c>
      <c r="D1915" s="25" t="inlineStr">
        <is>
          <t>Servicio De Publicidad De Pago (Paid Advertising) Para Ecommerce.</t>
        </is>
      </c>
      <c r="E1915" s="26" t="n">
        <v>3000</v>
      </c>
      <c r="F1915" s="27">
        <f>E1915/Config!$B$1</f>
        <v/>
      </c>
      <c r="G1915" s="24" t="inlineStr">
        <is>
          <t>Real</t>
        </is>
      </c>
    </row>
    <row r="1916" ht="34.5" customHeight="1" s="19">
      <c r="A1916" s="24" t="n">
        <v>8258</v>
      </c>
      <c r="B1916" s="25" t="inlineStr">
        <is>
          <t>Servicio de Publicidad Paid para Ecommerce: Aumenta tus Ventas con Anuncios Segmentados</t>
        </is>
      </c>
      <c r="C1916" s="24" t="inlineStr">
        <is>
          <t>Marketing Digital</t>
        </is>
      </c>
      <c r="D1916" s="25" t="inlineStr">
        <is>
          <t>Servicio de Publicidad Paid para E-commerce: Aumenta tu visibilidad, atrae clientes y genera más ventas.</t>
        </is>
      </c>
      <c r="E1916" s="26" t="n">
        <v>1200</v>
      </c>
      <c r="F1916" s="27">
        <f>E1916/Config!$B$1</f>
        <v/>
      </c>
      <c r="G1916" s="28" t="inlineStr">
        <is>
          <t>Estimado (mediana de categoría)</t>
        </is>
      </c>
    </row>
    <row r="1917" ht="23.25" customHeight="1" s="19">
      <c r="A1917" s="24" t="n">
        <v>6475</v>
      </c>
      <c r="B1917" s="25" t="inlineStr">
        <is>
          <t>Servicio de SEO</t>
        </is>
      </c>
      <c r="C1917" s="24" t="inlineStr">
        <is>
          <t>Marketing Digital</t>
        </is>
      </c>
      <c r="D1917" s="25" t="inlineStr">
        <is>
          <t>Servicio De Optimización Seo Para Mejorar El Posicionamiento Web.</t>
        </is>
      </c>
      <c r="E1917" s="26" t="n">
        <v>1200</v>
      </c>
      <c r="F1917" s="27">
        <f>E1917/Config!$B$1</f>
        <v/>
      </c>
      <c r="G1917" s="24" t="inlineStr">
        <is>
          <t>Real</t>
        </is>
      </c>
    </row>
    <row r="1918" ht="23.25" customHeight="1" s="19">
      <c r="A1918" s="24" t="n">
        <v>8185</v>
      </c>
      <c r="B1918" s="25" t="inlineStr">
        <is>
          <t>Servicio de SEO</t>
        </is>
      </c>
      <c r="C1918" s="24" t="inlineStr">
        <is>
          <t>Marketing Digital</t>
        </is>
      </c>
      <c r="D1918" s="25" t="inlineStr">
        <is>
          <t>Servicio De Optimización Seo Para Mejorar El Posicionamiento Web.</t>
        </is>
      </c>
      <c r="E1918" s="26" t="n">
        <v>1200</v>
      </c>
      <c r="F1918" s="27">
        <f>E1918/Config!$B$1</f>
        <v/>
      </c>
      <c r="G1918" s="28" t="inlineStr">
        <is>
          <t>Estimado (mediana de categoría)</t>
        </is>
      </c>
    </row>
    <row r="1919" ht="15" customHeight="1" s="19">
      <c r="A1919" s="24" t="n">
        <v>6555</v>
      </c>
      <c r="B1919" s="25" t="inlineStr">
        <is>
          <t>Servicio de SEO Ecommerce</t>
        </is>
      </c>
      <c r="C1919" s="24" t="inlineStr">
        <is>
          <t>Marketing Digital</t>
        </is>
      </c>
      <c r="D1919" s="25" t="inlineStr">
        <is>
          <t>Servicio De Optimización Seo Para Ecommerce.</t>
        </is>
      </c>
      <c r="E1919" s="26" t="n">
        <v>2500</v>
      </c>
      <c r="F1919" s="27">
        <f>E1919/Config!$B$1</f>
        <v/>
      </c>
      <c r="G1919" s="24" t="inlineStr">
        <is>
          <t>Real</t>
        </is>
      </c>
    </row>
    <row r="1920" ht="23.25" customHeight="1" s="19">
      <c r="A1920" s="24" t="n">
        <v>8257</v>
      </c>
      <c r="B1920" s="25" t="inlineStr">
        <is>
          <t>Servicio de SEO para Ecommerce: Optimiza tu tienda online y aumenta tus ventas</t>
        </is>
      </c>
      <c r="C1920" s="24" t="inlineStr">
        <is>
          <t>Marketing Digital</t>
        </is>
      </c>
      <c r="D1920" s="25" t="inlineStr">
        <is>
          <t>Servicio de Optimización SEO para Ecommerce</t>
        </is>
      </c>
      <c r="E1920" s="26" t="n">
        <v>1200</v>
      </c>
      <c r="F1920" s="27">
        <f>E1920/Config!$B$1</f>
        <v/>
      </c>
      <c r="G1920" s="28" t="inlineStr">
        <is>
          <t>Estimado (mediana de categoría)</t>
        </is>
      </c>
    </row>
    <row r="1921" ht="15" customHeight="1" s="19">
      <c r="A1921" s="24" t="n">
        <v>8189</v>
      </c>
      <c r="B1921" s="25" t="inlineStr">
        <is>
          <t>Servicio de traducción</t>
        </is>
      </c>
      <c r="C1921" s="24" t="inlineStr">
        <is>
          <t>Marketing Digital</t>
        </is>
      </c>
      <c r="D1921" s="25" t="inlineStr">
        <is>
          <t>Traducción De Contenido A Múltiples Idiomas.</t>
        </is>
      </c>
      <c r="E1921" s="26" t="n">
        <v>1200</v>
      </c>
      <c r="F1921" s="27">
        <f>E1921/Config!$B$1</f>
        <v/>
      </c>
      <c r="G1921" s="28" t="inlineStr">
        <is>
          <t>Estimado (mediana de categoría)</t>
        </is>
      </c>
    </row>
    <row r="1922" ht="23.25" customHeight="1" s="19">
      <c r="A1922" s="24" t="n">
        <v>6706</v>
      </c>
      <c r="B1922" s="25" t="inlineStr">
        <is>
          <t>Servicios de Automatización de Marketing Ecommerce</t>
        </is>
      </c>
      <c r="C1922" s="24" t="inlineStr">
        <is>
          <t>Marketing Digital</t>
        </is>
      </c>
      <c r="D1922" s="25" t="inlineStr">
        <is>
          <t>Servicios De Automatización De Marketing Para Ecommerce.</t>
        </is>
      </c>
      <c r="E1922" s="26" t="n">
        <v>2000</v>
      </c>
      <c r="F1922" s="27">
        <f>E1922/Config!$B$1</f>
        <v/>
      </c>
      <c r="G1922" s="24" t="inlineStr">
        <is>
          <t>Real</t>
        </is>
      </c>
    </row>
    <row r="1923" ht="23.25" customHeight="1" s="19">
      <c r="A1923" s="24" t="n">
        <v>8407</v>
      </c>
      <c r="B1923" s="25" t="inlineStr">
        <is>
          <t>Servicios de Automatización de Marketing para Ecommerce: Optimiza tus Estrategias de Marketing</t>
        </is>
      </c>
      <c r="C1923" s="24" t="inlineStr">
        <is>
          <t>Marketing Digital</t>
        </is>
      </c>
      <c r="D1923" s="25" t="inlineStr">
        <is>
          <t>Servicios de Automatización de Marketing para Ecommerce: Optimiza tus Estrategias de Marketing</t>
        </is>
      </c>
      <c r="E1923" s="26" t="n">
        <v>1200</v>
      </c>
      <c r="F1923" s="27">
        <f>E1923/Config!$B$1</f>
        <v/>
      </c>
      <c r="G1923" s="28" t="inlineStr">
        <is>
          <t>Estimado (mediana de categoría)</t>
        </is>
      </c>
    </row>
    <row r="1924" ht="23.25" customHeight="1" s="19">
      <c r="A1924" s="24" t="n">
        <v>8373</v>
      </c>
      <c r="B1924" s="25" t="inlineStr">
        <is>
          <t>Servicios de Fidelización de Clientes para Ecommerce: Mejora la Retención y el Engagement</t>
        </is>
      </c>
      <c r="C1924" s="24" t="inlineStr">
        <is>
          <t>Marketing Digital</t>
        </is>
      </c>
      <c r="D1924" s="25" t="inlineStr">
        <is>
          <t>Servicios de Fidelización de Clientes para Ecommerce: La clave para el crecimiento sostenible</t>
        </is>
      </c>
      <c r="E1924" s="26" t="n">
        <v>1200</v>
      </c>
      <c r="F1924" s="27">
        <f>E1924/Config!$B$1</f>
        <v/>
      </c>
      <c r="G1924" s="28" t="inlineStr">
        <is>
          <t>Estimado (mediana de categoría)</t>
        </is>
      </c>
    </row>
    <row r="1925" ht="23.25" customHeight="1" s="19">
      <c r="A1925" s="24" t="n">
        <v>6703</v>
      </c>
      <c r="B1925" s="25" t="inlineStr">
        <is>
          <t>Servicios de Gestión de Contenidos Ecommerce</t>
        </is>
      </c>
      <c r="C1925" s="24" t="inlineStr">
        <is>
          <t>Marketing Digital</t>
        </is>
      </c>
      <c r="D1925" s="25" t="inlineStr">
        <is>
          <t>Servicios De Gestión De Contenidos Para Ecommerce.</t>
        </is>
      </c>
      <c r="E1925" s="26" t="n">
        <v>1500</v>
      </c>
      <c r="F1925" s="27">
        <f>E1925/Config!$B$1</f>
        <v/>
      </c>
      <c r="G1925" s="24" t="inlineStr">
        <is>
          <t>Real</t>
        </is>
      </c>
    </row>
    <row r="1926" ht="23.25" customHeight="1" s="19">
      <c r="A1926" s="24" t="n">
        <v>6705</v>
      </c>
      <c r="B1926" s="25" t="inlineStr">
        <is>
          <t>Servicios de Implementación de Cupones y Promociones Ecommerce</t>
        </is>
      </c>
      <c r="C1926" s="24" t="inlineStr">
        <is>
          <t>Marketing Digital</t>
        </is>
      </c>
      <c r="D1926" s="25" t="inlineStr">
        <is>
          <t>Servicios De Implementación De Cupones Y Promociones Para Ecommerce.</t>
        </is>
      </c>
      <c r="E1926" s="26" t="n">
        <v>1200</v>
      </c>
      <c r="F1926" s="27">
        <f>E1926/Config!$B$1</f>
        <v/>
      </c>
      <c r="G1926" s="24" t="inlineStr">
        <is>
          <t>Real</t>
        </is>
      </c>
    </row>
    <row r="1927" ht="15" customHeight="1" s="19">
      <c r="A1927" s="24" t="n">
        <v>6101</v>
      </c>
      <c r="B1927" s="25" t="inlineStr">
        <is>
          <t>Servicios de Marketing Digital</t>
        </is>
      </c>
      <c r="C1927" s="24" t="inlineStr">
        <is>
          <t>Marketing Digital</t>
        </is>
      </c>
      <c r="D1927" s="25" t="inlineStr">
        <is>
          <t>Marketing Digital</t>
        </is>
      </c>
      <c r="E1927" s="26" t="n">
        <v>3500</v>
      </c>
      <c r="F1927" s="27">
        <f>E1927/Config!$B$1</f>
        <v/>
      </c>
      <c r="G1927" s="24" t="inlineStr">
        <is>
          <t>Real</t>
        </is>
      </c>
    </row>
    <row r="1928" ht="15" customHeight="1" s="19">
      <c r="A1928" s="24" t="n">
        <v>7825</v>
      </c>
      <c r="B1928" s="25" t="inlineStr">
        <is>
          <t>Servicios de Marketing Digital</t>
        </is>
      </c>
      <c r="C1928" s="24" t="inlineStr">
        <is>
          <t>Marketing Digital</t>
        </is>
      </c>
      <c r="D1928" s="25" t="inlineStr">
        <is>
          <t>Marketing Digital</t>
        </is>
      </c>
      <c r="E1928" s="26" t="n">
        <v>1200</v>
      </c>
      <c r="F1928" s="27">
        <f>E1928/Config!$B$1</f>
        <v/>
      </c>
      <c r="G1928" s="28" t="inlineStr">
        <is>
          <t>Estimado (mediana de categoría)</t>
        </is>
      </c>
    </row>
    <row r="1929" ht="15" customHeight="1" s="19">
      <c r="A1929" s="24" t="n">
        <v>6697</v>
      </c>
      <c r="B1929" s="25" t="inlineStr">
        <is>
          <t>Servicios de Marketing Multicanal Ecommerce</t>
        </is>
      </c>
      <c r="C1929" s="24" t="inlineStr">
        <is>
          <t>Marketing Digital</t>
        </is>
      </c>
      <c r="D1929" s="25" t="inlineStr">
        <is>
          <t>Servicios De Marketing Multicanal Para Ecommerce.</t>
        </is>
      </c>
      <c r="E1929" s="26" t="n">
        <v>3000</v>
      </c>
      <c r="F1929" s="27">
        <f>E1929/Config!$B$1</f>
        <v/>
      </c>
      <c r="G1929" s="24" t="inlineStr">
        <is>
          <t>Real</t>
        </is>
      </c>
    </row>
    <row r="1930" ht="34.5" customHeight="1" s="19">
      <c r="A1930" s="24" t="n">
        <v>8398</v>
      </c>
      <c r="B1930" s="25" t="inlineStr">
        <is>
          <t>Servicios de Marketing Multicanal para Ecommerce: Impulsa tu Tienda Virtual con Alcance Amplio, Personalización y Optimización</t>
        </is>
      </c>
      <c r="C1930" s="24" t="inlineStr">
        <is>
          <t>Marketing Digital</t>
        </is>
      </c>
      <c r="D1930" s="25" t="inlineStr">
        <is>
          <t>Servicios de Marketing Multicanal para Ecommerce: Impulsa tu Tienda Virtual</t>
        </is>
      </c>
      <c r="E1930" s="26" t="n">
        <v>1200</v>
      </c>
      <c r="F1930" s="27">
        <f>E1930/Config!$B$1</f>
        <v/>
      </c>
      <c r="G1930" s="28" t="inlineStr">
        <is>
          <t>Estimado (mediana de categoría)</t>
        </is>
      </c>
    </row>
    <row r="1931" ht="15" customHeight="1" s="19">
      <c r="A1931" s="24" t="n">
        <v>6689</v>
      </c>
      <c r="B1931" s="25" t="inlineStr">
        <is>
          <t>Servicios de Optimización SEO Ecommerce</t>
        </is>
      </c>
      <c r="C1931" s="24" t="inlineStr">
        <is>
          <t>Marketing Digital</t>
        </is>
      </c>
      <c r="D1931" s="25" t="inlineStr">
        <is>
          <t>Servicios De Optimización Seo Para Ecommerce.</t>
        </is>
      </c>
      <c r="E1931" s="26" t="n">
        <v>1500</v>
      </c>
      <c r="F1931" s="27">
        <f>E1931/Config!$B$1</f>
        <v/>
      </c>
      <c r="G1931" s="24" t="inlineStr">
        <is>
          <t>Real</t>
        </is>
      </c>
    </row>
    <row r="1932" ht="23.25" customHeight="1" s="19">
      <c r="A1932" s="24" t="n">
        <v>8390</v>
      </c>
      <c r="B1932" s="25" t="inlineStr">
        <is>
          <t>Servicios de Optimización SEO para Ecommerce: Aumenta la Visibilidad y el Tráfico de tu Tienda Online</t>
        </is>
      </c>
      <c r="C1932" s="24" t="inlineStr">
        <is>
          <t>Marketing Digital</t>
        </is>
      </c>
      <c r="D1932" s="25" t="inlineStr">
        <is>
          <t>Servicios de Optimización SEO para Ecommerce: Impulsa tu Tienda Online al Éxito</t>
        </is>
      </c>
      <c r="E1932" s="26" t="n">
        <v>1200</v>
      </c>
      <c r="F1932" s="27">
        <f>E1932/Config!$B$1</f>
        <v/>
      </c>
      <c r="G1932" s="28" t="inlineStr">
        <is>
          <t>Estimado (mediana de categoría)</t>
        </is>
      </c>
    </row>
    <row r="1933" ht="15" customHeight="1" s="19">
      <c r="A1933" s="24" t="n">
        <v>6682</v>
      </c>
      <c r="B1933" s="25" t="inlineStr">
        <is>
          <t>Servicios de Publicidad Ecommerce</t>
        </is>
      </c>
      <c r="C1933" s="24" t="inlineStr">
        <is>
          <t>Marketing Digital</t>
        </is>
      </c>
      <c r="D1933" s="25" t="inlineStr">
        <is>
          <t>Soluciones De Publicidad Digital Para Ecommerce.</t>
        </is>
      </c>
      <c r="E1933" s="26" t="n">
        <v>1200</v>
      </c>
      <c r="F1933" s="27">
        <f>E1933/Config!$B$1</f>
        <v/>
      </c>
      <c r="G1933" s="24" t="inlineStr">
        <is>
          <t>Real</t>
        </is>
      </c>
    </row>
    <row r="1934" ht="23.25" customHeight="1" s="19">
      <c r="A1934" s="24" t="n">
        <v>8383</v>
      </c>
      <c r="B1934" s="25" t="inlineStr">
        <is>
          <t>Servicios de Publicidad para Ecommerce: Impulsa tu Tienda Virtual</t>
        </is>
      </c>
      <c r="C1934" s="24" t="inlineStr">
        <is>
          <t>Marketing Digital</t>
        </is>
      </c>
      <c r="D1934" s="25" t="inlineStr">
        <is>
          <t>Servicios de Publicidad para Ecommerce: Impulsa tu Negocio Online</t>
        </is>
      </c>
      <c r="E1934" s="26" t="n">
        <v>1200</v>
      </c>
      <c r="F1934" s="27">
        <f>E1934/Config!$B$1</f>
        <v/>
      </c>
      <c r="G1934" s="28" t="inlineStr">
        <is>
          <t>Estimado (mediana de categoría)</t>
        </is>
      </c>
    </row>
    <row r="1935" ht="23.25" customHeight="1" s="19">
      <c r="A1935" s="24" t="n">
        <v>8388</v>
      </c>
      <c r="B1935" s="25" t="inlineStr">
        <is>
          <t>Servicios de Retención de Clientes para Ecommerce: Estrategias y Herramientas para Fidelizar y Retener</t>
        </is>
      </c>
      <c r="C1935" s="24" t="inlineStr">
        <is>
          <t>Marketing Digital</t>
        </is>
      </c>
      <c r="D1935" s="25" t="inlineStr">
        <is>
          <t>Servicios de Retención de Clientes para Ecommerce: La clave para el crecimiento sostenido.</t>
        </is>
      </c>
      <c r="E1935" s="26" t="n">
        <v>1200</v>
      </c>
      <c r="F1935" s="27">
        <f>E1935/Config!$B$1</f>
        <v/>
      </c>
      <c r="G1935" s="28" t="inlineStr">
        <is>
          <t>Estimado (mediana de categoría)</t>
        </is>
      </c>
    </row>
    <row r="1936" ht="23.25" customHeight="1" s="19">
      <c r="A1936" s="24" t="n">
        <v>7747</v>
      </c>
      <c r="B1936" s="25" t="inlineStr">
        <is>
          <t>Servicios de análisis de sentimientos y gestión de la reputación en redes sociales</t>
        </is>
      </c>
      <c r="C1936" s="24" t="inlineStr">
        <is>
          <t>Marketing Digital</t>
        </is>
      </c>
      <c r="D1936" s="25" t="inlineStr">
        <is>
          <t>Análisis De Sentimientos Y Reputación En Redes Sociales</t>
        </is>
      </c>
      <c r="E1936" s="26" t="n">
        <v>1200</v>
      </c>
      <c r="F1936" s="27">
        <f>E1936/Config!$B$1</f>
        <v/>
      </c>
      <c r="G1936" s="28" t="inlineStr">
        <is>
          <t>Estimado (mediana de categoría)</t>
        </is>
      </c>
    </row>
    <row r="1937" ht="23.25" customHeight="1" s="19">
      <c r="A1937" s="24" t="n">
        <v>6345</v>
      </c>
      <c r="B1937" s="25" t="inlineStr">
        <is>
          <t>Servicios de diseño gráfico</t>
        </is>
      </c>
      <c r="C1937" s="24" t="inlineStr">
        <is>
          <t>Marketing Digital</t>
        </is>
      </c>
      <c r="D1937" s="25" t="inlineStr">
        <is>
          <t>Servicios De Creación De Diseños Gráficos, Piezas De Publicidad Y Materiales Corporativos.</t>
        </is>
      </c>
      <c r="E1937" s="26" t="n">
        <v>2700</v>
      </c>
      <c r="F1937" s="27">
        <f>E1937/Config!$B$1</f>
        <v/>
      </c>
      <c r="G1937" s="24" t="inlineStr">
        <is>
          <t>Real</t>
        </is>
      </c>
    </row>
    <row r="1938" ht="23.25" customHeight="1" s="19">
      <c r="A1938" s="24" t="n">
        <v>8056</v>
      </c>
      <c r="B1938" s="25" t="inlineStr">
        <is>
          <t>Servicios de diseño gráfico</t>
        </is>
      </c>
      <c r="C1938" s="24" t="inlineStr">
        <is>
          <t>Marketing Digital</t>
        </is>
      </c>
      <c r="D1938" s="25" t="inlineStr">
        <is>
          <t>Servicios De Creación De Diseños Gráficos, Piezas De Publicidad Y Materiales Corporativos.</t>
        </is>
      </c>
      <c r="E1938" s="26" t="n">
        <v>1200</v>
      </c>
      <c r="F1938" s="27">
        <f>E1938/Config!$B$1</f>
        <v/>
      </c>
      <c r="G1938" s="28" t="inlineStr">
        <is>
          <t>Estimado (mediana de categoría)</t>
        </is>
      </c>
    </row>
    <row r="1939" ht="23.25" customHeight="1" s="19">
      <c r="A1939" s="24" t="n">
        <v>6391</v>
      </c>
      <c r="B1939" s="25" t="inlineStr">
        <is>
          <t>Servicios de diseño gráfico y multimedia</t>
        </is>
      </c>
      <c r="C1939" s="24" t="inlineStr">
        <is>
          <t>Marketing Digital</t>
        </is>
      </c>
      <c r="D1939" s="25" t="inlineStr">
        <is>
          <t>Servicios De Diseño Y Producción De Material Gráfico, Audiovisual Y Multimedia.</t>
        </is>
      </c>
      <c r="E1939" s="26" t="n">
        <v>7200</v>
      </c>
      <c r="F1939" s="27">
        <f>E1939/Config!$B$1</f>
        <v/>
      </c>
      <c r="G1939" s="24" t="inlineStr">
        <is>
          <t>Real</t>
        </is>
      </c>
    </row>
    <row r="1940" ht="23.25" customHeight="1" s="19">
      <c r="A1940" s="24" t="n">
        <v>8102</v>
      </c>
      <c r="B1940" s="25" t="inlineStr">
        <is>
          <t>Servicios de diseño gráfico y multimedia</t>
        </is>
      </c>
      <c r="C1940" s="24" t="inlineStr">
        <is>
          <t>Marketing Digital</t>
        </is>
      </c>
      <c r="D1940" s="25" t="inlineStr">
        <is>
          <t>Servicios De Diseño Y Producción De Material Gráfico, Audiovisual Y Multimedia.</t>
        </is>
      </c>
      <c r="E1940" s="26" t="n">
        <v>1200</v>
      </c>
      <c r="F1940" s="27">
        <f>E1940/Config!$B$1</f>
        <v/>
      </c>
      <c r="G1940" s="28" t="inlineStr">
        <is>
          <t>Estimado (mediana de categoría)</t>
        </is>
      </c>
    </row>
    <row r="1941" ht="23.25" customHeight="1" s="19">
      <c r="A1941" s="24" t="n">
        <v>8223</v>
      </c>
      <c r="B1941" s="25" t="inlineStr">
        <is>
          <t>Servicios de interpretación</t>
        </is>
      </c>
      <c r="C1941" s="24" t="inlineStr">
        <is>
          <t>Marketing Digital</t>
        </is>
      </c>
      <c r="D1941" s="25" t="inlineStr">
        <is>
          <t>Servicios De Interpretación En Vivo Para Eventos Y Reuniones Multilinguës.</t>
        </is>
      </c>
      <c r="E1941" s="26" t="n">
        <v>1200</v>
      </c>
      <c r="F1941" s="27">
        <f>E1941/Config!$B$1</f>
        <v/>
      </c>
      <c r="G1941" s="28" t="inlineStr">
        <is>
          <t>Estimado (mediana de categoría)</t>
        </is>
      </c>
    </row>
    <row r="1942" ht="23.25" customHeight="1" s="19">
      <c r="A1942" s="24" t="n">
        <v>8222</v>
      </c>
      <c r="B1942" s="25" t="inlineStr">
        <is>
          <t>Servicios de traducción</t>
        </is>
      </c>
      <c r="C1942" s="24" t="inlineStr">
        <is>
          <t>Marketing Digital</t>
        </is>
      </c>
      <c r="D1942" s="25" t="inlineStr">
        <is>
          <t>Servicios De Traducción De Contenido A Diversos Idiomas.</t>
        </is>
      </c>
      <c r="E1942" s="26" t="n">
        <v>1200</v>
      </c>
      <c r="F1942" s="27">
        <f>E1942/Config!$B$1</f>
        <v/>
      </c>
      <c r="G1942" s="28" t="inlineStr">
        <is>
          <t>Estimado (mediana de categoría)</t>
        </is>
      </c>
    </row>
    <row r="1943" ht="15" customHeight="1" s="19">
      <c r="A1943" s="24" t="n">
        <v>5887</v>
      </c>
      <c r="B1943" s="25" t="inlineStr">
        <is>
          <t>Social Media Management</t>
        </is>
      </c>
      <c r="C1943" s="24" t="inlineStr">
        <is>
          <t>Marketing Digital</t>
        </is>
      </c>
      <c r="D1943" s="25" t="inlineStr">
        <is>
          <t>Gestión De Redes Sociales</t>
        </is>
      </c>
      <c r="E1943" s="26" t="n">
        <v>3500</v>
      </c>
      <c r="F1943" s="27">
        <f>E1943/Config!$B$1</f>
        <v/>
      </c>
      <c r="G1943" s="24" t="inlineStr">
        <is>
          <t>Real</t>
        </is>
      </c>
    </row>
    <row r="1944" ht="15" customHeight="1" s="19">
      <c r="A1944" s="24" t="n">
        <v>7669</v>
      </c>
      <c r="B1944" s="25" t="inlineStr">
        <is>
          <t>Social Media Management</t>
        </is>
      </c>
      <c r="C1944" s="24" t="inlineStr">
        <is>
          <t>Marketing Digital</t>
        </is>
      </c>
      <c r="D1944" s="25" t="inlineStr">
        <is>
          <t>Gestión De Redes Sociales</t>
        </is>
      </c>
      <c r="E1944" s="26" t="n">
        <v>1200</v>
      </c>
      <c r="F1944" s="27">
        <f>E1944/Config!$B$1</f>
        <v/>
      </c>
      <c r="G1944" s="28" t="inlineStr">
        <is>
          <t>Estimado (mediana de categoría)</t>
        </is>
      </c>
    </row>
    <row r="1945" ht="15" customHeight="1" s="19">
      <c r="A1945" s="24" t="n">
        <v>8167</v>
      </c>
      <c r="B1945" s="25" t="inlineStr">
        <is>
          <t>Traducción de documentos</t>
        </is>
      </c>
      <c r="C1945" s="24" t="inlineStr">
        <is>
          <t>Marketing Digital</t>
        </is>
      </c>
      <c r="D1945" s="25" t="inlineStr">
        <is>
          <t>Servicio De Traducción De Contenido Profesional.</t>
        </is>
      </c>
      <c r="E1945" s="26" t="n">
        <v>1200</v>
      </c>
      <c r="F1945" s="27">
        <f>E1945/Config!$B$1</f>
        <v/>
      </c>
      <c r="G1945" s="28" t="inlineStr">
        <is>
          <t>Estimado (mediana de categoría)</t>
        </is>
      </c>
    </row>
    <row r="1946" ht="15" customHeight="1" s="19">
      <c r="A1946" s="24" t="n">
        <v>8166</v>
      </c>
      <c r="B1946" s="25" t="inlineStr">
        <is>
          <t>Transcripción de audio</t>
        </is>
      </c>
      <c r="C1946" s="24" t="inlineStr">
        <is>
          <t>Marketing Digital</t>
        </is>
      </c>
      <c r="D1946" s="25" t="inlineStr">
        <is>
          <t>Servicio De Transcripción Profesional De Audio.</t>
        </is>
      </c>
      <c r="E1946" s="26" t="n">
        <v>1200</v>
      </c>
      <c r="F1946" s="27">
        <f>E1946/Config!$B$1</f>
        <v/>
      </c>
      <c r="G1946" s="28" t="inlineStr">
        <is>
          <t>Estimado (mediana de categoría)</t>
        </is>
      </c>
    </row>
    <row r="1947" ht="15" customHeight="1" s="19">
      <c r="A1947" s="24" t="n">
        <v>6847</v>
      </c>
      <c r="B1947" s="25" t="inlineStr">
        <is>
          <t>Video Promotional</t>
        </is>
      </c>
      <c r="C1947" s="24" t="inlineStr">
        <is>
          <t>Marketing Digital</t>
        </is>
      </c>
      <c r="D1947" s="25" t="inlineStr">
        <is>
          <t>Video Promocional</t>
        </is>
      </c>
      <c r="E1947" s="26" t="n">
        <v>950</v>
      </c>
      <c r="F1947" s="27">
        <f>E1947/Config!$B$1</f>
        <v/>
      </c>
      <c r="G1947" s="24" t="inlineStr">
        <is>
          <t>Real</t>
        </is>
      </c>
    </row>
    <row r="1948" ht="15" customHeight="1" s="19">
      <c r="A1948" s="24" t="n">
        <v>6821</v>
      </c>
      <c r="B1948" s="25" t="inlineStr">
        <is>
          <t>Video Spot Publicitario Básico</t>
        </is>
      </c>
      <c r="C1948" s="24" t="inlineStr">
        <is>
          <t>Marketing Digital</t>
        </is>
      </c>
      <c r="D1948" s="25" t="inlineStr">
        <is>
          <t>Video Spot Básico</t>
        </is>
      </c>
      <c r="E1948" s="26" t="n">
        <v>950</v>
      </c>
      <c r="F1948" s="27">
        <f>E1948/Config!$B$1</f>
        <v/>
      </c>
      <c r="G1948" s="24" t="inlineStr">
        <is>
          <t>Real</t>
        </is>
      </c>
    </row>
    <row r="1949" ht="23.25" customHeight="1" s="19">
      <c r="A1949" s="24" t="n">
        <v>6499</v>
      </c>
      <c r="B1949" s="25" t="inlineStr">
        <is>
          <t>Video promocional</t>
        </is>
      </c>
      <c r="C1949" s="24" t="inlineStr">
        <is>
          <t>Marketing Digital</t>
        </is>
      </c>
      <c r="D1949" s="25" t="inlineStr">
        <is>
          <t>Creación De Contenido Audiovisual Para Promocionar Una Marca, Producto O Servicio.</t>
        </is>
      </c>
      <c r="E1949" s="26" t="n">
        <v>800</v>
      </c>
      <c r="F1949" s="27">
        <f>E1949/Config!$B$1</f>
        <v/>
      </c>
      <c r="G1949" s="24" t="inlineStr">
        <is>
          <t>Real</t>
        </is>
      </c>
    </row>
    <row r="1950" ht="23.25" customHeight="1" s="19">
      <c r="A1950" s="24" t="n">
        <v>8201</v>
      </c>
      <c r="B1950" s="25" t="inlineStr">
        <is>
          <t>Video promocional</t>
        </is>
      </c>
      <c r="C1950" s="24" t="inlineStr">
        <is>
          <t>Marketing Digital</t>
        </is>
      </c>
      <c r="D1950" s="25" t="inlineStr">
        <is>
          <t>Creación De Contenido Audiovisual Para Promocionar Una Marca, Producto O Servicio.</t>
        </is>
      </c>
      <c r="E1950" s="26" t="n">
        <v>1200</v>
      </c>
      <c r="F1950" s="27">
        <f>E1950/Config!$B$1</f>
        <v/>
      </c>
      <c r="G1950" s="28" t="inlineStr">
        <is>
          <t>Estimado (mediana de categoría)</t>
        </is>
      </c>
    </row>
    <row r="1951" ht="15" customHeight="1" s="19">
      <c r="A1951" s="24" t="n">
        <v>6273</v>
      </c>
      <c r="B1951" s="25" t="inlineStr">
        <is>
          <t>Video spot publicitario baja complejidad</t>
        </is>
      </c>
      <c r="C1951" s="24" t="inlineStr">
        <is>
          <t>Marketing Digital</t>
        </is>
      </c>
      <c r="D1951" s="25" t="inlineStr">
        <is>
          <t>Video Spot Publicitario Básico</t>
        </is>
      </c>
      <c r="E1951" s="26" t="n">
        <v>1200</v>
      </c>
      <c r="F1951" s="27">
        <f>E1951/Config!$B$1</f>
        <v/>
      </c>
      <c r="G1951" s="28" t="inlineStr">
        <is>
          <t>Estimado (mediana de categoría)</t>
        </is>
      </c>
    </row>
    <row r="1952" ht="15" customHeight="1" s="19">
      <c r="A1952" s="24" t="n">
        <v>6105</v>
      </c>
      <c r="B1952" s="25" t="inlineStr">
        <is>
          <t>Colaboración y Trabajo Remoto</t>
        </is>
      </c>
      <c r="C1952" s="24" t="inlineStr">
        <is>
          <t>Plataformas de Comunicación</t>
        </is>
      </c>
      <c r="D1952" s="25" t="inlineStr">
        <is>
          <t>Colaboración Y Trabajo Remoto</t>
        </is>
      </c>
      <c r="E1952" s="26" t="n">
        <v>1800</v>
      </c>
      <c r="F1952" s="27">
        <f>E1952/Config!$B$1</f>
        <v/>
      </c>
      <c r="G1952" s="24" t="inlineStr">
        <is>
          <t>Real</t>
        </is>
      </c>
    </row>
    <row r="1953" ht="15" customHeight="1" s="19">
      <c r="A1953" s="24" t="n">
        <v>7829</v>
      </c>
      <c r="B1953" s="25" t="inlineStr">
        <is>
          <t>Colaboración y Trabajo Remoto</t>
        </is>
      </c>
      <c r="C1953" s="24" t="inlineStr">
        <is>
          <t>Plataformas de Comunicación</t>
        </is>
      </c>
      <c r="D1953" s="25" t="inlineStr">
        <is>
          <t>Colaboración Y Trabajo Remoto</t>
        </is>
      </c>
      <c r="E1953" s="26" t="n">
        <v>2400</v>
      </c>
      <c r="F1953" s="27">
        <f>E1953/Config!$B$1</f>
        <v/>
      </c>
      <c r="G1953" s="28" t="inlineStr">
        <is>
          <t>Estimado (mediana de categoría)</t>
        </is>
      </c>
    </row>
    <row r="1954" ht="34.5" customHeight="1" s="19">
      <c r="A1954" s="24" t="n">
        <v>6381</v>
      </c>
      <c r="B1954" s="25" t="inlineStr">
        <is>
          <t>Desarrollo de plataformas de colaboración y trabajo remoto</t>
        </is>
      </c>
      <c r="C1954" s="24" t="inlineStr">
        <is>
          <t>Plataformas de Comunicación</t>
        </is>
      </c>
      <c r="D1954" s="25" t="inlineStr">
        <is>
          <t>Servicios De Creación De Plataformas De Colaboración, Comunicación Y Productividad Para Empresas.</t>
        </is>
      </c>
      <c r="E1954" s="26" t="n">
        <v>19800</v>
      </c>
      <c r="F1954" s="27">
        <f>E1954/Config!$B$1</f>
        <v/>
      </c>
      <c r="G1954" s="24" t="inlineStr">
        <is>
          <t>Real</t>
        </is>
      </c>
    </row>
    <row r="1955" ht="34.5" customHeight="1" s="19">
      <c r="A1955" s="24" t="n">
        <v>8092</v>
      </c>
      <c r="B1955" s="25" t="inlineStr">
        <is>
          <t>Desarrollo de plataformas de colaboración y trabajo remoto</t>
        </is>
      </c>
      <c r="C1955" s="24" t="inlineStr">
        <is>
          <t>Plataformas de Comunicación</t>
        </is>
      </c>
      <c r="D1955" s="25" t="inlineStr">
        <is>
          <t>Servicios De Creación De Plataformas De Colaboración, Comunicación Y Productividad Para Empresas.</t>
        </is>
      </c>
      <c r="E1955" s="26" t="n">
        <v>2400</v>
      </c>
      <c r="F1955" s="27">
        <f>E1955/Config!$B$1</f>
        <v/>
      </c>
      <c r="G1955" s="28" t="inlineStr">
        <is>
          <t>Estimado (mediana de categoría)</t>
        </is>
      </c>
    </row>
    <row r="1956" ht="15" customHeight="1" s="19">
      <c r="A1956" s="24" t="n">
        <v>6951</v>
      </c>
      <c r="B1956" s="25" t="inlineStr">
        <is>
          <t>Implementación de Sistemas de Telefonía IP</t>
        </is>
      </c>
      <c r="C1956" s="24" t="inlineStr">
        <is>
          <t>Plataformas de Comunicación</t>
        </is>
      </c>
      <c r="D1956" s="25" t="inlineStr">
        <is>
          <t>Telefonía Ip</t>
        </is>
      </c>
      <c r="E1956" s="26" t="n">
        <v>3400</v>
      </c>
      <c r="F1956" s="27">
        <f>E1956/Config!$B$1</f>
        <v/>
      </c>
      <c r="G1956" s="24" t="inlineStr">
        <is>
          <t>Real</t>
        </is>
      </c>
    </row>
    <row r="1957" ht="15" customHeight="1" s="19">
      <c r="A1957" s="24" t="n">
        <v>6954</v>
      </c>
      <c r="B1957" s="25" t="inlineStr">
        <is>
          <t>Implementación de Sistemas de Videoconferencia</t>
        </is>
      </c>
      <c r="C1957" s="24" t="inlineStr">
        <is>
          <t>Plataformas de Comunicación</t>
        </is>
      </c>
      <c r="D1957" s="25" t="inlineStr">
        <is>
          <t>Videoconferencia Segura</t>
        </is>
      </c>
      <c r="E1957" s="26" t="n">
        <v>4800</v>
      </c>
      <c r="F1957" s="27">
        <f>E1957/Config!$B$1</f>
        <v/>
      </c>
      <c r="G1957" s="24" t="inlineStr">
        <is>
          <t>Real</t>
        </is>
      </c>
    </row>
    <row r="1958" ht="15" customHeight="1" s="19">
      <c r="A1958" s="24" t="n">
        <v>6767</v>
      </c>
      <c r="B1958" s="25" t="inlineStr">
        <is>
          <t>Implementación de Soluciones de Videoconferencia</t>
        </is>
      </c>
      <c r="C1958" s="24" t="inlineStr">
        <is>
          <t>Plataformas de Comunicación</t>
        </is>
      </c>
      <c r="D1958" s="25" t="inlineStr">
        <is>
          <t>Soluciones De Videoconferencia</t>
        </is>
      </c>
      <c r="E1958" s="26" t="n">
        <v>3800</v>
      </c>
      <c r="F1958" s="27">
        <f>E1958/Config!$B$1</f>
        <v/>
      </c>
      <c r="G1958" s="24" t="inlineStr">
        <is>
          <t>Real</t>
        </is>
      </c>
    </row>
    <row r="1959" ht="15" customHeight="1" s="19">
      <c r="A1959" s="24" t="n">
        <v>7566</v>
      </c>
      <c r="B1959" s="25" t="inlineStr">
        <is>
          <t>Implementación de soluciones de colaboración</t>
        </is>
      </c>
      <c r="C1959" s="24" t="inlineStr">
        <is>
          <t>Plataformas de Comunicación</t>
        </is>
      </c>
      <c r="D1959" s="25" t="inlineStr">
        <is>
          <t>Soluciones De Colaboración</t>
        </is>
      </c>
      <c r="E1959" s="26" t="n">
        <v>1800</v>
      </c>
      <c r="F1959" s="27">
        <f>E1959/Config!$B$1</f>
        <v/>
      </c>
      <c r="G1959" s="24" t="inlineStr">
        <is>
          <t>Real</t>
        </is>
      </c>
    </row>
    <row r="1960" ht="15" customHeight="1" s="19">
      <c r="A1960" s="24" t="n">
        <v>6803</v>
      </c>
      <c r="B1960" s="25" t="inlineStr">
        <is>
          <t>Mantenimiento de Infraestructura de Videoconferencia</t>
        </is>
      </c>
      <c r="C1960" s="24" t="inlineStr">
        <is>
          <t>Plataformas de Comunicación</t>
        </is>
      </c>
      <c r="D1960" s="25" t="inlineStr">
        <is>
          <t>Mantenimiento Videoconferencia</t>
        </is>
      </c>
      <c r="E1960" s="26" t="n">
        <v>2400</v>
      </c>
      <c r="F1960" s="27">
        <f>E1960/Config!$B$1</f>
        <v/>
      </c>
      <c r="G1960" s="24" t="inlineStr">
        <is>
          <t>Real</t>
        </is>
      </c>
    </row>
    <row r="1961" ht="15" customHeight="1" s="19">
      <c r="A1961" s="24" t="n">
        <v>6837</v>
      </c>
      <c r="B1961" s="25" t="inlineStr">
        <is>
          <t>Mantenimiento de Sistemas de Videoconferencia</t>
        </is>
      </c>
      <c r="C1961" s="24" t="inlineStr">
        <is>
          <t>Plataformas de Comunicación</t>
        </is>
      </c>
      <c r="D1961" s="25" t="inlineStr">
        <is>
          <t>Mantenimiento De Videoconferencias</t>
        </is>
      </c>
      <c r="E1961" s="26" t="n">
        <v>1100</v>
      </c>
      <c r="F1961" s="27">
        <f>E1961/Config!$B$1</f>
        <v/>
      </c>
      <c r="G1961" s="24" t="inlineStr">
        <is>
          <t>Real</t>
        </is>
      </c>
    </row>
    <row r="1962" ht="15" customHeight="1" s="19">
      <c r="A1962" s="24" t="n">
        <v>7583</v>
      </c>
      <c r="B1962" s="25" t="inlineStr">
        <is>
          <t>Optimización de redes corporativas</t>
        </is>
      </c>
      <c r="C1962" s="24" t="inlineStr">
        <is>
          <t>Plataformas de Comunicación</t>
        </is>
      </c>
      <c r="D1962" s="25" t="inlineStr">
        <is>
          <t>Optimización De Redes</t>
        </is>
      </c>
      <c r="E1962" s="26" t="n">
        <v>540</v>
      </c>
      <c r="F1962" s="27">
        <f>E1962/Config!$B$1</f>
        <v/>
      </c>
      <c r="G1962" s="24" t="inlineStr">
        <is>
          <t>Real</t>
        </is>
      </c>
    </row>
    <row r="1963" ht="15" customHeight="1" s="19">
      <c r="A1963" s="24" t="n">
        <v>6227</v>
      </c>
      <c r="B1963" s="25" t="inlineStr">
        <is>
          <t>Plataforma de Gestión de Eventos Virtuales</t>
        </is>
      </c>
      <c r="C1963" s="24" t="inlineStr">
        <is>
          <t>Plataformas de Comunicación</t>
        </is>
      </c>
      <c r="D1963" s="25" t="inlineStr">
        <is>
          <t>Gestión De Eventos Virtuales</t>
        </is>
      </c>
      <c r="E1963" s="26" t="n">
        <v>1750</v>
      </c>
      <c r="F1963" s="27">
        <f>E1963/Config!$B$1</f>
        <v/>
      </c>
      <c r="G1963" s="24" t="inlineStr">
        <is>
          <t>Real</t>
        </is>
      </c>
    </row>
    <row r="1964" ht="15" customHeight="1" s="19">
      <c r="A1964" s="24" t="n">
        <v>7951</v>
      </c>
      <c r="B1964" s="25" t="inlineStr">
        <is>
          <t>Plataforma de Gestión de Eventos Virtuales</t>
        </is>
      </c>
      <c r="C1964" s="24" t="inlineStr">
        <is>
          <t>Plataformas de Comunicación</t>
        </is>
      </c>
      <c r="D1964" s="25" t="inlineStr">
        <is>
          <t>Gestión De Eventos Virtuales</t>
        </is>
      </c>
      <c r="E1964" s="26" t="n">
        <v>2400</v>
      </c>
      <c r="F1964" s="27">
        <f>E1964/Config!$B$1</f>
        <v/>
      </c>
      <c r="G1964" s="28" t="inlineStr">
        <is>
          <t>Estimado (mediana de categoría)</t>
        </is>
      </c>
    </row>
    <row r="1965" ht="15" customHeight="1" s="19">
      <c r="A1965" s="24" t="n">
        <v>6160</v>
      </c>
      <c r="B1965" s="25" t="inlineStr">
        <is>
          <t>Plataformas de Colaboración en Línea Inteligentes</t>
        </is>
      </c>
      <c r="C1965" s="24" t="inlineStr">
        <is>
          <t>Plataformas de Comunicación</t>
        </is>
      </c>
      <c r="D1965" s="25" t="inlineStr">
        <is>
          <t>Colaboración En Línea</t>
        </is>
      </c>
      <c r="E1965" s="26" t="n">
        <v>8500</v>
      </c>
      <c r="F1965" s="27">
        <f>E1965/Config!$B$1</f>
        <v/>
      </c>
      <c r="G1965" s="24" t="inlineStr">
        <is>
          <t>Real</t>
        </is>
      </c>
    </row>
    <row r="1966" ht="15" customHeight="1" s="19">
      <c r="A1966" s="24" t="n">
        <v>7884</v>
      </c>
      <c r="B1966" s="25" t="inlineStr">
        <is>
          <t>Plataformas de Colaboración en Línea Inteligentes</t>
        </is>
      </c>
      <c r="C1966" s="24" t="inlineStr">
        <is>
          <t>Plataformas de Comunicación</t>
        </is>
      </c>
      <c r="D1966" s="25" t="inlineStr">
        <is>
          <t>Colaboración En Línea</t>
        </is>
      </c>
      <c r="E1966" s="26" t="n">
        <v>2400</v>
      </c>
      <c r="F1966" s="27">
        <f>E1966/Config!$B$1</f>
        <v/>
      </c>
      <c r="G1966" s="28" t="inlineStr">
        <is>
          <t>Estimado (mediana de categoría)</t>
        </is>
      </c>
    </row>
    <row r="1967" ht="15" customHeight="1" s="19">
      <c r="A1967" s="24" t="n">
        <v>6851</v>
      </c>
      <c r="B1967" s="25" t="inlineStr">
        <is>
          <t>Plataformas de Comunicación</t>
        </is>
      </c>
      <c r="C1967" s="24" t="inlineStr">
        <is>
          <t>Plataformas de Comunicación</t>
        </is>
      </c>
      <c r="D1967" s="25" t="n"/>
      <c r="E1967" s="26" t="n">
        <v>6</v>
      </c>
      <c r="F1967" s="27">
        <f>E1967/Config!$B$1</f>
        <v/>
      </c>
      <c r="G1967" s="24" t="inlineStr">
        <is>
          <t>Real</t>
        </is>
      </c>
    </row>
    <row r="1968" ht="45.75" customHeight="1" s="19">
      <c r="A1968" s="24" t="n">
        <v>6448</v>
      </c>
      <c r="B1968" s="25" t="inlineStr">
        <is>
          <t>Servicios de desarrollo de aplicaciones de gestión de proyectos y colaboración remota</t>
        </is>
      </c>
      <c r="C1968" s="24" t="inlineStr">
        <is>
          <t>Plataformas de Comunicación</t>
        </is>
      </c>
      <c r="D1968" s="25" t="inlineStr">
        <is>
          <t>Servicios De Consultoría Y Construcción De Soluciones De Gestión De Proyectos, Comunicación, Seguimiento De Tareas Y Trabajo Remoto Para Mejorar La Productividad Y Coordinación De Equipos.</t>
        </is>
      </c>
      <c r="E1968" s="26" t="n">
        <v>22500</v>
      </c>
      <c r="F1968" s="27">
        <f>E1968/Config!$B$1</f>
        <v/>
      </c>
      <c r="G1968" s="24" t="inlineStr">
        <is>
          <t>Real</t>
        </is>
      </c>
    </row>
    <row r="1969" ht="45.75" customHeight="1" s="19">
      <c r="A1969" s="24" t="n">
        <v>8159</v>
      </c>
      <c r="B1969" s="25" t="inlineStr">
        <is>
          <t>Servicios de desarrollo de aplicaciones de gestión de proyectos y colaboración remota</t>
        </is>
      </c>
      <c r="C1969" s="24" t="inlineStr">
        <is>
          <t>Plataformas de Comunicación</t>
        </is>
      </c>
      <c r="D1969" s="25" t="inlineStr">
        <is>
          <t>Servicios De Consultoría Y Construcción De Soluciones De Gestión De Proyectos, Comunicación, Seguimiento De Tareas Y Trabajo Remoto Para Mejorar La Productividad Y Coordinación De Equipos.</t>
        </is>
      </c>
      <c r="E1969" s="26" t="n">
        <v>2400</v>
      </c>
      <c r="F1969" s="27">
        <f>E1969/Config!$B$1</f>
        <v/>
      </c>
      <c r="G1969" s="28" t="inlineStr">
        <is>
          <t>Estimado (mediana de categoría)</t>
        </is>
      </c>
    </row>
    <row r="1970" ht="23.25" customHeight="1" s="19">
      <c r="A1970" s="24" t="n">
        <v>6411</v>
      </c>
      <c r="B1970" s="25" t="inlineStr">
        <is>
          <t>Servicios de implementación de soluciones de colaboración y productividad</t>
        </is>
      </c>
      <c r="C1970" s="24" t="inlineStr">
        <is>
          <t>Plataformas de Comunicación</t>
        </is>
      </c>
      <c r="D1970" s="25" t="inlineStr">
        <is>
          <t>Servicios De Consultoría Y Desarrollo De Soluciones De Trabajo Remoto, Comunicación Y Coordinación.</t>
        </is>
      </c>
      <c r="E1970" s="26" t="n">
        <v>12600</v>
      </c>
      <c r="F1970" s="27">
        <f>E1970/Config!$B$1</f>
        <v/>
      </c>
      <c r="G1970" s="24" t="inlineStr">
        <is>
          <t>Real</t>
        </is>
      </c>
    </row>
    <row r="1971" ht="23.25" customHeight="1" s="19">
      <c r="A1971" s="24" t="n">
        <v>8122</v>
      </c>
      <c r="B1971" s="25" t="inlineStr">
        <is>
          <t>Servicios de implementación de soluciones de colaboración y productividad</t>
        </is>
      </c>
      <c r="C1971" s="24" t="inlineStr">
        <is>
          <t>Plataformas de Comunicación</t>
        </is>
      </c>
      <c r="D1971" s="25" t="inlineStr">
        <is>
          <t>Servicios De Consultoría Y Desarrollo De Soluciones De Trabajo Remoto, Comunicación Y Coordinación.</t>
        </is>
      </c>
      <c r="E1971" s="26" t="n">
        <v>2400</v>
      </c>
      <c r="F1971" s="27">
        <f>E1971/Config!$B$1</f>
        <v/>
      </c>
      <c r="G1971" s="28" t="inlineStr">
        <is>
          <t>Estimado (mediana de categoría)</t>
        </is>
      </c>
    </row>
    <row r="1972" ht="15" customHeight="1" s="19">
      <c r="A1972" s="24" t="n">
        <v>6776</v>
      </c>
      <c r="B1972" s="25" t="inlineStr">
        <is>
          <t>Videoconferencias Seguras y Eficientes</t>
        </is>
      </c>
      <c r="C1972" s="24" t="inlineStr">
        <is>
          <t>Plataformas de Comunicación</t>
        </is>
      </c>
      <c r="D1972" s="25" t="inlineStr">
        <is>
          <t>Videoconferencias Seguras</t>
        </is>
      </c>
      <c r="E1972" s="26" t="n">
        <v>1900</v>
      </c>
      <c r="F1972" s="27">
        <f>E1972/Config!$B$1</f>
        <v/>
      </c>
      <c r="G1972" s="24" t="inlineStr">
        <is>
          <t>Real</t>
        </is>
      </c>
    </row>
    <row r="1973" ht="15" customHeight="1" s="19">
      <c r="A1973" s="24" t="n">
        <v>6909</v>
      </c>
      <c r="B1973" s="25" t="inlineStr">
        <is>
          <t>Alojamiento Web Básico</t>
        </is>
      </c>
      <c r="C1973" s="24" t="inlineStr">
        <is>
          <t>Servicios de Hosting</t>
        </is>
      </c>
      <c r="D1973" s="25" t="inlineStr">
        <is>
          <t>Alojamiento Web Básico.</t>
        </is>
      </c>
      <c r="E1973" s="26" t="n">
        <v>45</v>
      </c>
      <c r="F1973" s="27">
        <f>E1973/Config!$B$1</f>
        <v/>
      </c>
      <c r="G1973" s="24" t="inlineStr">
        <is>
          <t>Real</t>
        </is>
      </c>
    </row>
    <row r="1974" ht="23.25" customHeight="1" s="19">
      <c r="A1974" s="24" t="n">
        <v>6312</v>
      </c>
      <c r="B1974" s="25" t="inlineStr">
        <is>
          <t>Alojamiento web</t>
        </is>
      </c>
      <c r="C1974" s="24" t="inlineStr">
        <is>
          <t>Servicios de Hosting</t>
        </is>
      </c>
      <c r="D1974" s="25" t="inlineStr">
        <is>
          <t>Alojamiento De Sitios Web Y Aplicaciones En La Nube.</t>
        </is>
      </c>
      <c r="E1974" s="26" t="n">
        <v>90</v>
      </c>
      <c r="F1974" s="27">
        <f>E1974/Config!$B$1</f>
        <v/>
      </c>
      <c r="G1974" s="24" t="inlineStr">
        <is>
          <t>Real</t>
        </is>
      </c>
    </row>
    <row r="1975" ht="23.25" customHeight="1" s="19">
      <c r="A1975" s="24" t="n">
        <v>8023</v>
      </c>
      <c r="B1975" s="25" t="inlineStr">
        <is>
          <t>Alojamiento web</t>
        </is>
      </c>
      <c r="C1975" s="24" t="inlineStr">
        <is>
          <t>Servicios de Hosting</t>
        </is>
      </c>
      <c r="D1975" s="25" t="inlineStr">
        <is>
          <t>Alojamiento De Sitios Web Y Aplicaciones En La Nube.</t>
        </is>
      </c>
      <c r="E1975" s="26" t="n">
        <v>100</v>
      </c>
      <c r="F1975" s="27">
        <f>E1975/Config!$B$1</f>
        <v/>
      </c>
      <c r="G1975" s="28" t="inlineStr">
        <is>
          <t>Estimado (mediana de categoría)</t>
        </is>
      </c>
    </row>
    <row r="1976" ht="15" customHeight="1" s="19">
      <c r="A1976" s="24" t="n">
        <v>6272</v>
      </c>
      <c r="B1976" s="25" t="inlineStr">
        <is>
          <t>Dominio Anual .com</t>
        </is>
      </c>
      <c r="C1976" s="24" t="inlineStr">
        <is>
          <t>Servicios de Hosting</t>
        </is>
      </c>
      <c r="D1976" s="25" t="inlineStr">
        <is>
          <t>Dominio .Com Anual</t>
        </is>
      </c>
      <c r="E1976" s="26" t="n">
        <v>100</v>
      </c>
      <c r="F1976" s="27">
        <f>E1976/Config!$B$1</f>
        <v/>
      </c>
      <c r="G1976" s="28" t="inlineStr">
        <is>
          <t>Estimado (mediana de categoría)</t>
        </is>
      </c>
    </row>
    <row r="1977" ht="15" customHeight="1" s="19">
      <c r="A1977" s="24" t="n">
        <v>6271</v>
      </c>
      <c r="B1977" s="25" t="inlineStr">
        <is>
          <t>Dominio Pago anual .com.ar</t>
        </is>
      </c>
      <c r="C1977" s="24" t="inlineStr">
        <is>
          <t>Servicios de Hosting</t>
        </is>
      </c>
      <c r="D1977" s="25" t="inlineStr">
        <is>
          <t>Dominio .Com.Ar Anual</t>
        </is>
      </c>
      <c r="E1977" s="26" t="n">
        <v>100</v>
      </c>
      <c r="F1977" s="27">
        <f>E1977/Config!$B$1</f>
        <v/>
      </c>
      <c r="G1977" s="28" t="inlineStr">
        <is>
          <t>Estimado (mediana de categoría)</t>
        </is>
      </c>
    </row>
    <row r="1978" ht="15" customHeight="1" s="19">
      <c r="A1978" s="24" t="n">
        <v>6902</v>
      </c>
      <c r="B1978" s="25" t="inlineStr">
        <is>
          <t>Gestión De Dominios</t>
        </is>
      </c>
      <c r="C1978" s="24" t="inlineStr">
        <is>
          <t>Servicios de Hosting</t>
        </is>
      </c>
      <c r="D1978" s="25" t="inlineStr">
        <is>
          <t>Gestión De Dominios.</t>
        </is>
      </c>
      <c r="E1978" s="26" t="n">
        <v>400</v>
      </c>
      <c r="F1978" s="27">
        <f>E1978/Config!$B$1</f>
        <v/>
      </c>
      <c r="G1978" s="24" t="inlineStr">
        <is>
          <t>Real</t>
        </is>
      </c>
    </row>
    <row r="1979" ht="15" customHeight="1" s="19">
      <c r="A1979" s="24" t="n">
        <v>6916</v>
      </c>
      <c r="B1979" s="25" t="inlineStr">
        <is>
          <t>Gestión de Dominios y Servicios Relacionados</t>
        </is>
      </c>
      <c r="C1979" s="24" t="inlineStr">
        <is>
          <t>Servicios de Hosting</t>
        </is>
      </c>
      <c r="D1979" s="25" t="inlineStr">
        <is>
          <t>Gestión De Dominios.</t>
        </is>
      </c>
      <c r="E1979" s="26" t="n">
        <v>450</v>
      </c>
      <c r="F1979" s="27">
        <f>E1979/Config!$B$1</f>
        <v/>
      </c>
      <c r="G1979" s="24" t="inlineStr">
        <is>
          <t>Real</t>
        </is>
      </c>
    </row>
    <row r="1980" ht="15" customHeight="1" s="19">
      <c r="A1980" s="24" t="n">
        <v>6867</v>
      </c>
      <c r="B1980" s="25" t="inlineStr">
        <is>
          <t>Hosting Básico</t>
        </is>
      </c>
      <c r="C1980" s="24" t="inlineStr">
        <is>
          <t>Servicios de Hosting</t>
        </is>
      </c>
      <c r="D1980" s="25" t="inlineStr">
        <is>
          <t>Plan Básico De Hosting.</t>
        </is>
      </c>
      <c r="E1980" s="26" t="n">
        <v>90</v>
      </c>
      <c r="F1980" s="27">
        <f>E1980/Config!$B$1</f>
        <v/>
      </c>
      <c r="G1980" s="24" t="inlineStr">
        <is>
          <t>Real</t>
        </is>
      </c>
    </row>
    <row r="1981" ht="15" customHeight="1" s="19">
      <c r="A1981" s="24" t="n">
        <v>6901</v>
      </c>
      <c r="B1981" s="25" t="inlineStr">
        <is>
          <t>Hosting Corporativo</t>
        </is>
      </c>
      <c r="C1981" s="24" t="inlineStr">
        <is>
          <t>Servicios de Hosting</t>
        </is>
      </c>
      <c r="D1981" s="25" t="inlineStr">
        <is>
          <t>Hosting Corporativo.</t>
        </is>
      </c>
      <c r="E1981" s="26" t="n">
        <v>1700</v>
      </c>
      <c r="F1981" s="27">
        <f>E1981/Config!$B$1</f>
        <v/>
      </c>
      <c r="G1981" s="24" t="inlineStr">
        <is>
          <t>Real</t>
        </is>
      </c>
    </row>
    <row r="1982" ht="15" customHeight="1" s="19">
      <c r="A1982" s="24" t="n">
        <v>6903</v>
      </c>
      <c r="B1982" s="25" t="inlineStr">
        <is>
          <t>Hosting Web Básico</t>
        </is>
      </c>
      <c r="C1982" s="24" t="inlineStr">
        <is>
          <t>Servicios de Hosting</t>
        </is>
      </c>
      <c r="D1982" s="25" t="inlineStr">
        <is>
          <t>Alojamiento Web Básico.</t>
        </is>
      </c>
      <c r="E1982" s="26" t="n">
        <v>45</v>
      </c>
      <c r="F1982" s="27">
        <f>E1982/Config!$B$1</f>
        <v/>
      </c>
      <c r="G1982" s="24" t="inlineStr">
        <is>
          <t>Real</t>
        </is>
      </c>
    </row>
    <row r="1983" ht="15" customHeight="1" s="19">
      <c r="A1983" s="24" t="n">
        <v>6904</v>
      </c>
      <c r="B1983" s="25" t="inlineStr">
        <is>
          <t>Hosting Web Profesional</t>
        </is>
      </c>
      <c r="C1983" s="24" t="inlineStr">
        <is>
          <t>Servicios de Hosting</t>
        </is>
      </c>
      <c r="D1983" s="25" t="inlineStr">
        <is>
          <t>Alojamiento Web Profesional.</t>
        </is>
      </c>
      <c r="E1983" s="26" t="n">
        <v>130</v>
      </c>
      <c r="F1983" s="27">
        <f>E1983/Config!$B$1</f>
        <v/>
      </c>
      <c r="G1983" s="24" t="inlineStr">
        <is>
          <t>Real</t>
        </is>
      </c>
    </row>
    <row r="1984" ht="15" customHeight="1" s="19">
      <c r="A1984" s="24" t="n">
        <v>6925</v>
      </c>
      <c r="B1984" s="25" t="inlineStr">
        <is>
          <t>Hosting Web Starter</t>
        </is>
      </c>
      <c r="C1984" s="24" t="inlineStr">
        <is>
          <t>Servicios de Hosting</t>
        </is>
      </c>
      <c r="D1984" s="25" t="inlineStr">
        <is>
          <t>Hosting Básico</t>
        </is>
      </c>
      <c r="E1984" s="26" t="n">
        <v>90</v>
      </c>
      <c r="F1984" s="27">
        <f>E1984/Config!$B$1</f>
        <v/>
      </c>
      <c r="G1984" s="24" t="inlineStr">
        <is>
          <t>Real</t>
        </is>
      </c>
    </row>
    <row r="1985" ht="15" customHeight="1" s="19">
      <c r="A1985" s="24" t="n">
        <v>7573</v>
      </c>
      <c r="B1985" s="25" t="inlineStr">
        <is>
          <t>Hosting seguro</t>
        </is>
      </c>
      <c r="C1985" s="24" t="inlineStr">
        <is>
          <t>Servicios de Hosting</t>
        </is>
      </c>
      <c r="D1985" s="25" t="inlineStr">
        <is>
          <t>Hosting Web Seguro</t>
        </is>
      </c>
      <c r="E1985" s="26" t="n">
        <v>90</v>
      </c>
      <c r="F1985" s="27">
        <f>E1985/Config!$B$1</f>
        <v/>
      </c>
      <c r="G1985" s="24" t="inlineStr">
        <is>
          <t>Real</t>
        </is>
      </c>
    </row>
    <row r="1986" ht="15" customHeight="1" s="19">
      <c r="A1986" s="24" t="n">
        <v>6802</v>
      </c>
      <c r="B1986" s="25" t="inlineStr">
        <is>
          <t>Mantenimiento de Hosting Web</t>
        </is>
      </c>
      <c r="C1986" s="24" t="inlineStr">
        <is>
          <t>Servicios de Hosting</t>
        </is>
      </c>
      <c r="D1986" s="25" t="inlineStr">
        <is>
          <t>Mantenimiento De Hosting</t>
        </is>
      </c>
      <c r="E1986" s="26" t="n">
        <v>1150</v>
      </c>
      <c r="F1986" s="27">
        <f>E1986/Config!$B$1</f>
        <v/>
      </c>
      <c r="G1986" s="24" t="inlineStr">
        <is>
          <t>Real</t>
        </is>
      </c>
    </row>
    <row r="1987" ht="15" customHeight="1" s="19">
      <c r="A1987" s="24" t="n">
        <v>6932</v>
      </c>
      <c r="B1987" s="25" t="inlineStr">
        <is>
          <t>Migración de Hosting</t>
        </is>
      </c>
      <c r="C1987" s="24" t="inlineStr">
        <is>
          <t>Servicios de Hosting</t>
        </is>
      </c>
      <c r="D1987" s="25" t="inlineStr">
        <is>
          <t>Migración De Hosting</t>
        </is>
      </c>
      <c r="E1987" s="26" t="n">
        <v>450</v>
      </c>
      <c r="F1987" s="27">
        <f>E1987/Config!$B$1</f>
        <v/>
      </c>
      <c r="G1987" s="24" t="inlineStr">
        <is>
          <t>Real</t>
        </is>
      </c>
    </row>
    <row r="1988" ht="15" customHeight="1" s="19">
      <c r="A1988" s="24" t="n">
        <v>6848</v>
      </c>
      <c r="B1988" s="25" t="inlineStr">
        <is>
          <t>Paquete de Hosting Básico</t>
        </is>
      </c>
      <c r="C1988" s="24" t="inlineStr">
        <is>
          <t>Servicios de Hosting</t>
        </is>
      </c>
      <c r="D1988" s="25" t="inlineStr">
        <is>
          <t>Hosting Básico Con 10 Gb Y 100 Gb Ancho.</t>
        </is>
      </c>
      <c r="E1988" s="26" t="n">
        <v>15</v>
      </c>
      <c r="F1988" s="27">
        <f>E1988/Config!$B$1</f>
        <v/>
      </c>
      <c r="G1988" s="24" t="inlineStr">
        <is>
          <t>Real</t>
        </is>
      </c>
    </row>
    <row r="1989" ht="15" customHeight="1" s="19">
      <c r="A1989" s="24" t="n">
        <v>7563</v>
      </c>
      <c r="B1989" s="25" t="inlineStr">
        <is>
          <t>Registro y pago anual de un dominio .com</t>
        </is>
      </c>
      <c r="C1989" s="24" t="inlineStr">
        <is>
          <t>Servicios de Hosting</t>
        </is>
      </c>
      <c r="D1989" s="25" t="inlineStr">
        <is>
          <t>Registro De Dominio</t>
        </is>
      </c>
      <c r="E1989" s="26" t="n">
        <v>15</v>
      </c>
      <c r="F1989" s="27">
        <f>E1989/Config!$B$1</f>
        <v/>
      </c>
      <c r="G1989" s="24" t="inlineStr">
        <is>
          <t>Real</t>
        </is>
      </c>
    </row>
    <row r="1990" ht="15" customHeight="1" s="19">
      <c r="A1990" s="24" t="n">
        <v>7557</v>
      </c>
      <c r="B1990" s="25" t="inlineStr">
        <is>
          <t>Servicio de Hosting</t>
        </is>
      </c>
      <c r="C1990" s="24" t="inlineStr">
        <is>
          <t>Servicios de Hosting</t>
        </is>
      </c>
      <c r="D1990" s="25" t="inlineStr">
        <is>
          <t>Hosting Seguro</t>
        </is>
      </c>
      <c r="E1990" s="26" t="n">
        <v>100</v>
      </c>
      <c r="F1990" s="27">
        <f>E1990/Config!$B$1</f>
        <v/>
      </c>
      <c r="G1990" s="24" t="inlineStr">
        <is>
          <t>Real</t>
        </is>
      </c>
    </row>
    <row r="1991" ht="15" customHeight="1" s="19">
      <c r="A1991" s="24" t="n">
        <v>7901</v>
      </c>
      <c r="B1991" s="25" t="inlineStr">
        <is>
          <t>Servicios de Alojamiento y Cloud</t>
        </is>
      </c>
      <c r="C1991" s="24" t="inlineStr">
        <is>
          <t>Servicios de Hosting</t>
        </is>
      </c>
      <c r="D1991" s="25" t="inlineStr">
        <is>
          <t>Servicios De Alojamiento Y Cloud</t>
        </is>
      </c>
      <c r="E1991" s="26" t="n">
        <v>100</v>
      </c>
      <c r="F1991" s="27">
        <f>E1991/Config!$B$1</f>
        <v/>
      </c>
      <c r="G1991" s="28" t="inlineStr">
        <is>
          <t>Estimado (mediana de categoría)</t>
        </is>
      </c>
    </row>
    <row r="1992" ht="15" customHeight="1" s="19">
      <c r="A1992" s="24" t="n">
        <v>6145</v>
      </c>
      <c r="B1992" s="25" t="inlineStr">
        <is>
          <t>Servicios de Hosting y Dominio</t>
        </is>
      </c>
      <c r="C1992" s="24" t="inlineStr">
        <is>
          <t>Servicios de Hosting</t>
        </is>
      </c>
      <c r="D1992" s="25" t="inlineStr">
        <is>
          <t>Hosting Y Dominios Para Empresas.</t>
        </is>
      </c>
      <c r="E1992" s="26" t="n">
        <v>80</v>
      </c>
      <c r="F1992" s="27">
        <f>E1992/Config!$B$1</f>
        <v/>
      </c>
      <c r="G1992" s="24" t="inlineStr">
        <is>
          <t>Real</t>
        </is>
      </c>
    </row>
    <row r="1993" ht="15" customHeight="1" s="19">
      <c r="A1993" s="24" t="n">
        <v>7869</v>
      </c>
      <c r="B1993" s="25" t="inlineStr">
        <is>
          <t>Servicios de Hosting y Dominio</t>
        </is>
      </c>
      <c r="C1993" s="24" t="inlineStr">
        <is>
          <t>Servicios de Hosting</t>
        </is>
      </c>
      <c r="D1993" s="25" t="inlineStr">
        <is>
          <t>Hosting Y Dominios Para Empresas.</t>
        </is>
      </c>
      <c r="E1993" s="26" t="n">
        <v>100</v>
      </c>
      <c r="F1993" s="27">
        <f>E1993/Config!$B$1</f>
        <v/>
      </c>
      <c r="G1993" s="28" t="inlineStr">
        <is>
          <t>Estimado (mediana de categoría)</t>
        </is>
      </c>
    </row>
    <row r="1994" ht="23.25" customHeight="1" s="19">
      <c r="A1994" s="24" t="n">
        <v>6385</v>
      </c>
      <c r="B1994" s="25" t="inlineStr">
        <is>
          <t>Servicios de hosting y alojamiento web</t>
        </is>
      </c>
      <c r="C1994" s="24" t="inlineStr">
        <is>
          <t>Servicios de Hosting</t>
        </is>
      </c>
      <c r="D1994" s="25" t="inlineStr">
        <is>
          <t>Servicios De Hospedaje Y Administración De Infraestructura Web Para Empresas.</t>
        </is>
      </c>
      <c r="E1994" s="26" t="n">
        <v>900</v>
      </c>
      <c r="F1994" s="27">
        <f>E1994/Config!$B$1</f>
        <v/>
      </c>
      <c r="G1994" s="24" t="inlineStr">
        <is>
          <t>Real</t>
        </is>
      </c>
    </row>
    <row r="1995" ht="23.25" customHeight="1" s="19">
      <c r="A1995" s="24" t="n">
        <v>8096</v>
      </c>
      <c r="B1995" s="25" t="inlineStr">
        <is>
          <t>Servicios de hosting y alojamiento web</t>
        </is>
      </c>
      <c r="C1995" s="24" t="inlineStr">
        <is>
          <t>Servicios de Hosting</t>
        </is>
      </c>
      <c r="D1995" s="25" t="inlineStr">
        <is>
          <t>Servicios De Hospedaje Y Administración De Infraestructura Web Para Empresas.</t>
        </is>
      </c>
      <c r="E1995" s="26" t="n">
        <v>100</v>
      </c>
      <c r="F1995" s="27">
        <f>E1995/Config!$B$1</f>
        <v/>
      </c>
      <c r="G1995" s="28" t="inlineStr">
        <is>
          <t>Estimado (mediana de categoría)</t>
        </is>
      </c>
    </row>
    <row r="1996" ht="15" customHeight="1" s="19">
      <c r="A1996" s="24" t="n">
        <v>6900</v>
      </c>
      <c r="B1996" s="25" t="inlineStr">
        <is>
          <t>Servidor Virtual Privado</t>
        </is>
      </c>
      <c r="C1996" s="24" t="inlineStr">
        <is>
          <t>Servicios de Hosting</t>
        </is>
      </c>
      <c r="D1996" s="25" t="inlineStr">
        <is>
          <t>Servidor Vps.</t>
        </is>
      </c>
      <c r="E1996" s="26" t="n">
        <v>1200</v>
      </c>
      <c r="F1996" s="27">
        <f>E1996/Config!$B$1</f>
        <v/>
      </c>
      <c r="G1996" s="24" t="inlineStr">
        <is>
          <t>Real</t>
        </is>
      </c>
    </row>
    <row r="1997" ht="15" customHeight="1" s="19">
      <c r="A1997" s="24" t="n">
        <v>6914</v>
      </c>
      <c r="B1997" s="25" t="inlineStr">
        <is>
          <t>Servidores Virtuales Privados</t>
        </is>
      </c>
      <c r="C1997" s="24" t="inlineStr">
        <is>
          <t>Servicios de Hosting</t>
        </is>
      </c>
      <c r="D1997" s="25" t="inlineStr">
        <is>
          <t>Servidores Vps.</t>
        </is>
      </c>
      <c r="E1997" s="26" t="n">
        <v>1300</v>
      </c>
      <c r="F1997" s="27">
        <f>E1997/Config!$B$1</f>
        <v/>
      </c>
      <c r="G1997" s="24" t="inlineStr">
        <is>
          <t>Real</t>
        </is>
      </c>
    </row>
    <row r="1998" ht="15" customHeight="1" s="19">
      <c r="A1998" s="24" t="n">
        <v>6908</v>
      </c>
      <c r="B1998" s="25" t="inlineStr">
        <is>
          <t>Servidores Virtuales Privados (VPS)</t>
        </is>
      </c>
      <c r="C1998" s="24" t="inlineStr">
        <is>
          <t>Servicios de Hosting</t>
        </is>
      </c>
      <c r="D1998" s="25" t="inlineStr">
        <is>
          <t>Vps Para Hosting Web.</t>
        </is>
      </c>
      <c r="E1998" s="26" t="n">
        <v>90</v>
      </c>
      <c r="F1998" s="27">
        <f>E1998/Config!$B$1</f>
        <v/>
      </c>
      <c r="G1998" s="24" t="inlineStr">
        <is>
          <t>Real</t>
        </is>
      </c>
    </row>
    <row r="1999" ht="15" customHeight="1" s="19">
      <c r="A1999" s="24" t="n">
        <v>6915</v>
      </c>
      <c r="B1999" s="25" t="inlineStr">
        <is>
          <t>Soluciones de Hosting Confiables y Seguras</t>
        </is>
      </c>
      <c r="C1999" s="24" t="inlineStr">
        <is>
          <t>Servicios de Hosting</t>
        </is>
      </c>
      <c r="D1999" s="25" t="inlineStr">
        <is>
          <t>Soluciones De Hosting.</t>
        </is>
      </c>
      <c r="E1999" s="26" t="n">
        <v>1800</v>
      </c>
      <c r="F1999" s="27">
        <f>E1999/Config!$B$1</f>
        <v/>
      </c>
      <c r="G1999" s="24" t="inlineStr">
        <is>
          <t>Real</t>
        </is>
      </c>
    </row>
    <row r="2000" ht="15" customHeight="1" s="19">
      <c r="A2000" s="24" t="n">
        <v>6930</v>
      </c>
      <c r="B2000" s="25" t="inlineStr">
        <is>
          <t>VPS (Servidor Virtual Privado)</t>
        </is>
      </c>
      <c r="C2000" s="24" t="inlineStr">
        <is>
          <t>Servicios de Hosting</t>
        </is>
      </c>
      <c r="D2000" s="25" t="inlineStr">
        <is>
          <t>Vps Hosting</t>
        </is>
      </c>
      <c r="E2000" s="26" t="n">
        <v>180</v>
      </c>
      <c r="F2000" s="27">
        <f>E2000/Config!$B$1</f>
        <v/>
      </c>
      <c r="G2000" s="24" t="inlineStr">
        <is>
          <t>Real</t>
        </is>
      </c>
    </row>
    <row r="2001" ht="15" customHeight="1" s="19">
      <c r="A2001" s="24" t="n">
        <v>5885</v>
      </c>
      <c r="B2001" s="25" t="inlineStr">
        <is>
          <t>VPS Hosting</t>
        </is>
      </c>
      <c r="C2001" s="24" t="inlineStr">
        <is>
          <t>Servicios de Hosting</t>
        </is>
      </c>
      <c r="D2001" s="25" t="inlineStr">
        <is>
          <t>Alojamiento En Vps</t>
        </is>
      </c>
      <c r="E2001" s="26" t="n">
        <v>500</v>
      </c>
      <c r="F2001" s="27">
        <f>E2001/Config!$B$1</f>
        <v/>
      </c>
      <c r="G2001" s="24" t="inlineStr">
        <is>
          <t>Real</t>
        </is>
      </c>
    </row>
    <row r="2002" ht="15" customHeight="1" s="19">
      <c r="A2002" s="24" t="n">
        <v>7667</v>
      </c>
      <c r="B2002" s="25" t="inlineStr">
        <is>
          <t>VPS Hosting</t>
        </is>
      </c>
      <c r="C2002" s="24" t="inlineStr">
        <is>
          <t>Servicios de Hosting</t>
        </is>
      </c>
      <c r="D2002" s="25" t="inlineStr">
        <is>
          <t>Alojamiento En Vps</t>
        </is>
      </c>
      <c r="E2002" s="26" t="n">
        <v>100</v>
      </c>
      <c r="F2002" s="27">
        <f>E2002/Config!$B$1</f>
        <v/>
      </c>
      <c r="G2002" s="28" t="inlineStr">
        <is>
          <t>Estimado (mediana de categoría)</t>
        </is>
      </c>
    </row>
    <row r="2003" ht="15" customHeight="1" s="19">
      <c r="A2003" s="24" t="n">
        <v>5905</v>
      </c>
      <c r="B2003" s="25" t="inlineStr">
        <is>
          <t>Web Hosting Maintenance</t>
        </is>
      </c>
      <c r="C2003" s="24" t="inlineStr">
        <is>
          <t>Servicios de Hosting</t>
        </is>
      </c>
      <c r="D2003" s="25" t="inlineStr">
        <is>
          <t>Mantenimiento De Hosting Web</t>
        </is>
      </c>
      <c r="E2003" s="26" t="n">
        <v>500</v>
      </c>
      <c r="F2003" s="27">
        <f>E2003/Config!$B$1</f>
        <v/>
      </c>
      <c r="G2003" s="24" t="inlineStr">
        <is>
          <t>Real</t>
        </is>
      </c>
    </row>
    <row r="2004" ht="15" customHeight="1" s="19">
      <c r="A2004" s="24" t="n">
        <v>7687</v>
      </c>
      <c r="B2004" s="25" t="inlineStr">
        <is>
          <t>Web Hosting Maintenance</t>
        </is>
      </c>
      <c r="C2004" s="24" t="inlineStr">
        <is>
          <t>Servicios de Hosting</t>
        </is>
      </c>
      <c r="D2004" s="25" t="inlineStr">
        <is>
          <t>Mantenimiento De Hosting Web</t>
        </is>
      </c>
      <c r="E2004" s="26" t="n">
        <v>100</v>
      </c>
      <c r="F2004" s="27">
        <f>E2004/Config!$B$1</f>
        <v/>
      </c>
      <c r="G2004" s="28" t="inlineStr">
        <is>
          <t>Estimado (mediana de categoría)</t>
        </is>
      </c>
    </row>
    <row r="2005" ht="15" customHeight="1" s="19">
      <c r="A2005" s="24" t="n">
        <v>5882</v>
      </c>
      <c r="B2005" s="25" t="inlineStr">
        <is>
          <t>Web Hosting Starter</t>
        </is>
      </c>
      <c r="C2005" s="24" t="inlineStr">
        <is>
          <t>Servicios de Hosting</t>
        </is>
      </c>
      <c r="D2005" s="25" t="inlineStr">
        <is>
          <t>Alojamiento Web Básico.</t>
        </is>
      </c>
      <c r="E2005" s="26" t="n">
        <v>100</v>
      </c>
      <c r="F2005" s="27">
        <f>E2005/Config!$B$1</f>
        <v/>
      </c>
      <c r="G2005" s="24" t="inlineStr">
        <is>
          <t>Real</t>
        </is>
      </c>
    </row>
    <row r="2006" ht="15" customHeight="1" s="19">
      <c r="A2006" s="24" t="n">
        <v>7664</v>
      </c>
      <c r="B2006" s="25" t="inlineStr">
        <is>
          <t>Web Hosting Starter</t>
        </is>
      </c>
      <c r="C2006" s="24" t="inlineStr">
        <is>
          <t>Servicios de Hosting</t>
        </is>
      </c>
      <c r="D2006" s="25" t="inlineStr">
        <is>
          <t>Alojamiento Web Básico.</t>
        </is>
      </c>
      <c r="E2006" s="26" t="n">
        <v>100</v>
      </c>
      <c r="F2006" s="27">
        <f>E2006/Config!$B$1</f>
        <v/>
      </c>
      <c r="G2006" s="28" t="inlineStr">
        <is>
          <t>Estimado (mediana de categoría)</t>
        </is>
      </c>
    </row>
    <row r="2007" ht="15" customHeight="1" s="19">
      <c r="A2007" s="24" t="n">
        <v>7474</v>
      </c>
      <c r="B2007" s="25" t="inlineStr">
        <is>
          <t>$80</t>
        </is>
      </c>
      <c r="C2007" s="24" t="inlineStr">
        <is>
          <t>Soluciones por Industria</t>
        </is>
      </c>
      <c r="D2007" s="25" t="n"/>
      <c r="E2007" s="26" t="n">
        <v>40</v>
      </c>
      <c r="F2007" s="27">
        <f>E2007/Config!$B$1</f>
        <v/>
      </c>
      <c r="G2007" s="24" t="inlineStr">
        <is>
          <t>Real</t>
        </is>
      </c>
    </row>
    <row r="2008" ht="15" customHeight="1" s="19">
      <c r="A2008" s="24" t="n">
        <v>6089</v>
      </c>
      <c r="B2008" s="25" t="inlineStr">
        <is>
          <t>Aplicaciones de Internet de las Cosas (IoT)</t>
        </is>
      </c>
      <c r="C2008" s="24" t="inlineStr">
        <is>
          <t>Soluciones por Industria</t>
        </is>
      </c>
      <c r="D2008" s="25" t="inlineStr">
        <is>
          <t>Desarrollo De Aplicaciones De Iot.</t>
        </is>
      </c>
      <c r="E2008" s="26" t="n">
        <v>6500</v>
      </c>
      <c r="F2008" s="27">
        <f>E2008/Config!$B$1</f>
        <v/>
      </c>
      <c r="G2008" s="24" t="inlineStr">
        <is>
          <t>Real</t>
        </is>
      </c>
    </row>
    <row r="2009" ht="15" customHeight="1" s="19">
      <c r="A2009" s="24" t="n">
        <v>7813</v>
      </c>
      <c r="B2009" s="25" t="inlineStr">
        <is>
          <t>Aplicaciones de Internet de las Cosas (IoT)</t>
        </is>
      </c>
      <c r="C2009" s="24" t="inlineStr">
        <is>
          <t>Soluciones por Industria</t>
        </is>
      </c>
      <c r="D2009" s="25" t="inlineStr">
        <is>
          <t>Desarrollo De Aplicaciones De Iot.</t>
        </is>
      </c>
      <c r="E2009" s="26" t="n">
        <v>1000</v>
      </c>
      <c r="F2009" s="27">
        <f>E2009/Config!$B$1</f>
        <v/>
      </c>
      <c r="G2009" s="28" t="inlineStr">
        <is>
          <t>Estimado (mediana de categoría)</t>
        </is>
      </c>
    </row>
    <row r="2010" ht="23.25" customHeight="1" s="19">
      <c r="A2010" s="24" t="n">
        <v>6617</v>
      </c>
      <c r="B2010" s="25" t="inlineStr">
        <is>
          <t>Asesoría de Diseño de Interiores</t>
        </is>
      </c>
      <c r="C2010" s="24" t="inlineStr">
        <is>
          <t>Soluciones por Industria</t>
        </is>
      </c>
      <c r="D2010" s="25" t="inlineStr">
        <is>
          <t>Orientación Experta Para Mejorar El Diseño Y Estética Del Hogar.</t>
        </is>
      </c>
      <c r="E2010" s="26" t="n">
        <v>80</v>
      </c>
      <c r="F2010" s="27">
        <f>E2010/Config!$B$1</f>
        <v/>
      </c>
      <c r="G2010" s="24" t="inlineStr">
        <is>
          <t>Real</t>
        </is>
      </c>
    </row>
    <row r="2011" ht="15" customHeight="1" s="19">
      <c r="A2011" s="24" t="n">
        <v>6965</v>
      </c>
      <c r="B2011" s="25" t="inlineStr">
        <is>
          <t>Auditoría de Sistemas para Minoristas</t>
        </is>
      </c>
      <c r="C2011" s="24" t="inlineStr">
        <is>
          <t>Soluciones por Industria</t>
        </is>
      </c>
      <c r="D2011" s="25" t="inlineStr">
        <is>
          <t>Auditoría De Sistemas Para Minoristas</t>
        </is>
      </c>
      <c r="E2011" s="26" t="n">
        <v>1100</v>
      </c>
      <c r="F2011" s="27">
        <f>E2011/Config!$B$1</f>
        <v/>
      </c>
      <c r="G2011" s="24" t="inlineStr">
        <is>
          <t>Real</t>
        </is>
      </c>
    </row>
    <row r="2012" ht="34.5" customHeight="1" s="19">
      <c r="A2012" s="24" t="n">
        <v>7499</v>
      </c>
      <c r="B2012" s="25" t="inlineStr">
        <is>
          <t>Básica: La solución integral para tus necesidades de belleza</t>
        </is>
      </c>
      <c r="C2012" s="24" t="inlineStr">
        <is>
          <t>Soluciones por Industria</t>
        </is>
      </c>
      <c r="D2012" s="25" t="inlineStr">
        <is>
          <t>Básica: la prenda esencial para tu armario. Su diseño minimalista y versátil te permite crear infinitos looks, desde los más casuales hasta los más elegantes.</t>
        </is>
      </c>
      <c r="E2012" s="26" t="n">
        <v>1000</v>
      </c>
      <c r="F2012" s="27">
        <f>E2012/Config!$B$1</f>
        <v/>
      </c>
      <c r="G2012" s="28" t="inlineStr">
        <is>
          <t>Estimado (mediana de categoría)</t>
        </is>
      </c>
    </row>
    <row r="2013" ht="15" customHeight="1" s="19">
      <c r="A2013" s="24" t="n">
        <v>6967</v>
      </c>
      <c r="B2013" s="25" t="inlineStr">
        <is>
          <t>Capacitación en Gestión para Minoristas</t>
        </is>
      </c>
      <c r="C2013" s="24" t="inlineStr">
        <is>
          <t>Soluciones por Industria</t>
        </is>
      </c>
      <c r="D2013" s="25" t="inlineStr">
        <is>
          <t>Capacitación En Gestión Para Minoristas</t>
        </is>
      </c>
      <c r="E2013" s="26" t="n">
        <v>850</v>
      </c>
      <c r="F2013" s="27">
        <f>E2013/Config!$B$1</f>
        <v/>
      </c>
      <c r="G2013" s="24" t="inlineStr">
        <is>
          <t>Real</t>
        </is>
      </c>
    </row>
    <row r="2014" ht="15" customHeight="1" s="19">
      <c r="A2014" s="24" t="n">
        <v>6959</v>
      </c>
      <c r="B2014" s="25" t="inlineStr">
        <is>
          <t>Consultoría Inicial para Minoristas</t>
        </is>
      </c>
      <c r="C2014" s="24" t="inlineStr">
        <is>
          <t>Soluciones por Industria</t>
        </is>
      </c>
      <c r="D2014" s="25" t="n"/>
      <c r="E2014" s="26" t="n">
        <v>500</v>
      </c>
      <c r="F2014" s="27">
        <f>E2014/Config!$B$1</f>
        <v/>
      </c>
      <c r="G2014" s="24" t="inlineStr">
        <is>
          <t>Real</t>
        </is>
      </c>
    </row>
    <row r="2015" ht="15" customHeight="1" s="19">
      <c r="A2015" s="24" t="n">
        <v>6093</v>
      </c>
      <c r="B2015" s="25" t="inlineStr">
        <is>
          <t>Consultoría en Blockchain</t>
        </is>
      </c>
      <c r="C2015" s="24" t="inlineStr">
        <is>
          <t>Soluciones por Industria</t>
        </is>
      </c>
      <c r="D2015" s="25" t="inlineStr">
        <is>
          <t>Soluciones Blockchain</t>
        </is>
      </c>
      <c r="E2015" s="26" t="n">
        <v>5500</v>
      </c>
      <c r="F2015" s="27">
        <f>E2015/Config!$B$1</f>
        <v/>
      </c>
      <c r="G2015" s="24" t="inlineStr">
        <is>
          <t>Real</t>
        </is>
      </c>
    </row>
    <row r="2016" ht="15" customHeight="1" s="19">
      <c r="A2016" s="24" t="n">
        <v>7817</v>
      </c>
      <c r="B2016" s="25" t="inlineStr">
        <is>
          <t>Consultoría en Blockchain</t>
        </is>
      </c>
      <c r="C2016" s="24" t="inlineStr">
        <is>
          <t>Soluciones por Industria</t>
        </is>
      </c>
      <c r="D2016" s="25" t="inlineStr">
        <is>
          <t>Soluciones Blockchain</t>
        </is>
      </c>
      <c r="E2016" s="26" t="n">
        <v>1000</v>
      </c>
      <c r="F2016" s="27">
        <f>E2016/Config!$B$1</f>
        <v/>
      </c>
      <c r="G2016" s="28" t="inlineStr">
        <is>
          <t>Estimado (mediana de categoría)</t>
        </is>
      </c>
    </row>
    <row r="2017" ht="15" customHeight="1" s="19">
      <c r="A2017" s="24" t="n">
        <v>7654</v>
      </c>
      <c r="B2017" s="25" t="inlineStr">
        <is>
          <t>Consultoría en Estrategia y Transformación Digital</t>
        </is>
      </c>
      <c r="C2017" s="24" t="inlineStr">
        <is>
          <t>Soluciones por Industria</t>
        </is>
      </c>
      <c r="D2017" s="25" t="inlineStr">
        <is>
          <t>Estrategia Y Transformación Digital</t>
        </is>
      </c>
      <c r="E2017" s="26" t="n">
        <v>1000</v>
      </c>
      <c r="F2017" s="27">
        <f>E2017/Config!$B$1</f>
        <v/>
      </c>
      <c r="G2017" s="28" t="inlineStr">
        <is>
          <t>Estimado (mediana de categoría)</t>
        </is>
      </c>
    </row>
    <row r="2018" ht="23.25" customHeight="1" s="19">
      <c r="A2018" s="24" t="n">
        <v>7658</v>
      </c>
      <c r="B2018" s="25" t="inlineStr">
        <is>
          <t>Consultoría en Gestión de la Innovación y Desarrollo de Nuevos Productos/Servicios</t>
        </is>
      </c>
      <c r="C2018" s="24" t="inlineStr">
        <is>
          <t>Soluciones por Industria</t>
        </is>
      </c>
      <c r="D2018" s="25" t="inlineStr">
        <is>
          <t>Gestión De La Innovación.</t>
        </is>
      </c>
      <c r="E2018" s="26" t="n">
        <v>1000</v>
      </c>
      <c r="F2018" s="27">
        <f>E2018/Config!$B$1</f>
        <v/>
      </c>
      <c r="G2018" s="28" t="inlineStr">
        <is>
          <t>Estimado (mediana de categoría)</t>
        </is>
      </c>
    </row>
    <row r="2019" ht="23.25" customHeight="1" s="19">
      <c r="A2019" s="24" t="n">
        <v>7648</v>
      </c>
      <c r="B2019" s="25" t="inlineStr">
        <is>
          <t>Consultoría en Inteligencia Artificial y Aprendizaje Automático</t>
        </is>
      </c>
      <c r="C2019" s="24" t="inlineStr">
        <is>
          <t>Soluciones por Industria</t>
        </is>
      </c>
      <c r="D2019" s="25" t="inlineStr">
        <is>
          <t>Consultoría En Ia Y Ml.</t>
        </is>
      </c>
      <c r="E2019" s="26" t="n">
        <v>1000</v>
      </c>
      <c r="F2019" s="27">
        <f>E2019/Config!$B$1</f>
        <v/>
      </c>
      <c r="G2019" s="28" t="inlineStr">
        <is>
          <t>Estimado (mediana de categoría)</t>
        </is>
      </c>
    </row>
    <row r="2020" ht="15" customHeight="1" s="19">
      <c r="A2020" s="24" t="n">
        <v>7646</v>
      </c>
      <c r="B2020" s="25" t="inlineStr">
        <is>
          <t>Consultoría en Transformación Digital</t>
        </is>
      </c>
      <c r="C2020" s="24" t="inlineStr">
        <is>
          <t>Soluciones por Industria</t>
        </is>
      </c>
      <c r="D2020" s="25" t="inlineStr">
        <is>
          <t>Transformación Digital</t>
        </is>
      </c>
      <c r="E2020" s="26" t="n">
        <v>1000</v>
      </c>
      <c r="F2020" s="27">
        <f>E2020/Config!$B$1</f>
        <v/>
      </c>
      <c r="G2020" s="28" t="inlineStr">
        <is>
          <t>Estimado (mediana de categoría)</t>
        </is>
      </c>
    </row>
    <row r="2021" ht="15" customHeight="1" s="19">
      <c r="A2021" s="24" t="n">
        <v>7622</v>
      </c>
      <c r="B2021" s="25" t="inlineStr">
        <is>
          <t>Consultoría en desarrollo de productos</t>
        </is>
      </c>
      <c r="C2021" s="24" t="inlineStr">
        <is>
          <t>Soluciones por Industria</t>
        </is>
      </c>
      <c r="D2021" s="25" t="inlineStr">
        <is>
          <t>Consultoría En Desarrollo De Productos</t>
        </is>
      </c>
      <c r="E2021" s="26" t="n">
        <v>720</v>
      </c>
      <c r="F2021" s="27">
        <f>E2021/Config!$B$1</f>
        <v/>
      </c>
      <c r="G2021" s="24" t="inlineStr">
        <is>
          <t>Real</t>
        </is>
      </c>
    </row>
    <row r="2022" ht="15" customHeight="1" s="19">
      <c r="A2022" s="24" t="n">
        <v>7630</v>
      </c>
      <c r="B2022" s="25" t="inlineStr">
        <is>
          <t>Consultoría en estrategia de negocio</t>
        </is>
      </c>
      <c r="C2022" s="24" t="inlineStr">
        <is>
          <t>Soluciones por Industria</t>
        </is>
      </c>
      <c r="D2022" s="25" t="inlineStr">
        <is>
          <t>Consultoría En Estrategia De Negocio</t>
        </is>
      </c>
      <c r="E2022" s="26" t="n">
        <v>1170</v>
      </c>
      <c r="F2022" s="27">
        <f>E2022/Config!$B$1</f>
        <v/>
      </c>
      <c r="G2022" s="24" t="inlineStr">
        <is>
          <t>Real</t>
        </is>
      </c>
    </row>
    <row r="2023" ht="15" customHeight="1" s="19">
      <c r="A2023" s="24" t="n">
        <v>7733</v>
      </c>
      <c r="B2023" s="25" t="inlineStr">
        <is>
          <t>Consultoría en estrategia y arquitectura empresarial</t>
        </is>
      </c>
      <c r="C2023" s="24" t="inlineStr">
        <is>
          <t>Soluciones por Industria</t>
        </is>
      </c>
      <c r="D2023" s="25" t="inlineStr">
        <is>
          <t>Consultoría En Estrategia Y Arquitectura Empresarial</t>
        </is>
      </c>
      <c r="E2023" s="26" t="n">
        <v>1000</v>
      </c>
      <c r="F2023" s="27">
        <f>E2023/Config!$B$1</f>
        <v/>
      </c>
      <c r="G2023" s="28" t="inlineStr">
        <is>
          <t>Estimado (mediana de categoría)</t>
        </is>
      </c>
    </row>
    <row r="2024" ht="23.25" customHeight="1" s="19">
      <c r="A2024" s="24" t="n">
        <v>7753</v>
      </c>
      <c r="B2024" s="25" t="inlineStr">
        <is>
          <t>Consultoría en estrategia y transformación digital para la adopción de tecnologías emergentes</t>
        </is>
      </c>
      <c r="C2024" s="24" t="inlineStr">
        <is>
          <t>Soluciones por Industria</t>
        </is>
      </c>
      <c r="D2024" s="25" t="inlineStr">
        <is>
          <t>Estrategia Y Transformación Digital</t>
        </is>
      </c>
      <c r="E2024" s="26" t="n">
        <v>1000</v>
      </c>
      <c r="F2024" s="27">
        <f>E2024/Config!$B$1</f>
        <v/>
      </c>
      <c r="G2024" s="28" t="inlineStr">
        <is>
          <t>Estimado (mediana de categoría)</t>
        </is>
      </c>
    </row>
    <row r="2025" ht="23.25" customHeight="1" s="19">
      <c r="A2025" s="24" t="n">
        <v>7768</v>
      </c>
      <c r="B2025" s="25" t="inlineStr">
        <is>
          <t>Consultoría en estrategia y transformación digital para la adopción de tecnologías innovadoras</t>
        </is>
      </c>
      <c r="C2025" s="24" t="inlineStr">
        <is>
          <t>Soluciones por Industria</t>
        </is>
      </c>
      <c r="D2025" s="25" t="inlineStr">
        <is>
          <t>Consultoría</t>
        </is>
      </c>
      <c r="E2025" s="26" t="n">
        <v>1000</v>
      </c>
      <c r="F2025" s="27">
        <f>E2025/Config!$B$1</f>
        <v/>
      </c>
      <c r="G2025" s="28" t="inlineStr">
        <is>
          <t>Estimado (mediana de categoría)</t>
        </is>
      </c>
    </row>
    <row r="2026" ht="15" customHeight="1" s="19">
      <c r="A2026" s="24" t="n">
        <v>7634</v>
      </c>
      <c r="B2026" s="25" t="inlineStr">
        <is>
          <t>Consultoría en gestión de la cadena de suministro</t>
        </is>
      </c>
      <c r="C2026" s="24" t="inlineStr">
        <is>
          <t>Soluciones por Industria</t>
        </is>
      </c>
      <c r="D2026" s="25" t="inlineStr">
        <is>
          <t>Consultoría En Cadena De Suministro</t>
        </is>
      </c>
      <c r="E2026" s="26" t="n">
        <v>990</v>
      </c>
      <c r="F2026" s="27">
        <f>E2026/Config!$B$1</f>
        <v/>
      </c>
      <c r="G2026" s="24" t="inlineStr">
        <is>
          <t>Real</t>
        </is>
      </c>
    </row>
    <row r="2027" ht="23.25" customHeight="1" s="19">
      <c r="A2027" s="24" t="n">
        <v>7748</v>
      </c>
      <c r="B2027" s="25" t="inlineStr">
        <is>
          <t>Consultoría en innovación y desarrollo de nuevos modelos de negocio digitales</t>
        </is>
      </c>
      <c r="C2027" s="24" t="inlineStr">
        <is>
          <t>Soluciones por Industria</t>
        </is>
      </c>
      <c r="D2027" s="25" t="inlineStr">
        <is>
          <t>Innovación Y Modelos De Negocio Digitales</t>
        </is>
      </c>
      <c r="E2027" s="26" t="n">
        <v>1000</v>
      </c>
      <c r="F2027" s="27">
        <f>E2027/Config!$B$1</f>
        <v/>
      </c>
      <c r="G2027" s="28" t="inlineStr">
        <is>
          <t>Estimado (mediana de categoría)</t>
        </is>
      </c>
    </row>
    <row r="2028" ht="15" customHeight="1" s="19">
      <c r="A2028" s="24" t="n">
        <v>7698</v>
      </c>
      <c r="B2028" s="25" t="inlineStr">
        <is>
          <t>Consultoría en inteligencia artificial</t>
        </is>
      </c>
      <c r="C2028" s="24" t="inlineStr">
        <is>
          <t>Soluciones por Industria</t>
        </is>
      </c>
      <c r="D2028" s="25" t="inlineStr">
        <is>
          <t>Ia Y Aprendizaje Automático</t>
        </is>
      </c>
      <c r="E2028" s="26" t="n">
        <v>1000</v>
      </c>
      <c r="F2028" s="27">
        <f>E2028/Config!$B$1</f>
        <v/>
      </c>
      <c r="G2028" s="28" t="inlineStr">
        <is>
          <t>Estimado (mediana de categoría)</t>
        </is>
      </c>
    </row>
    <row r="2029" ht="15" customHeight="1" s="19">
      <c r="A2029" s="24" t="n">
        <v>7626</v>
      </c>
      <c r="B2029" s="25" t="inlineStr">
        <is>
          <t>Consultoría en sostenibilidad y responsabilidad social</t>
        </is>
      </c>
      <c r="C2029" s="24" t="inlineStr">
        <is>
          <t>Soluciones por Industria</t>
        </is>
      </c>
      <c r="D2029" s="25" t="inlineStr">
        <is>
          <t>Consultoría En Sostenibilidad</t>
        </is>
      </c>
      <c r="E2029" s="26" t="n">
        <v>900</v>
      </c>
      <c r="F2029" s="27">
        <f>E2029/Config!$B$1</f>
        <v/>
      </c>
      <c r="G2029" s="24" t="inlineStr">
        <is>
          <t>Real</t>
        </is>
      </c>
    </row>
    <row r="2030" ht="23.25" customHeight="1" s="19">
      <c r="A2030" s="24" t="n">
        <v>7736</v>
      </c>
      <c r="B2030" s="25" t="inlineStr">
        <is>
          <t>Consultoría en transformación digital y adopción de nuevas tecnologías</t>
        </is>
      </c>
      <c r="C2030" s="24" t="inlineStr">
        <is>
          <t>Soluciones por Industria</t>
        </is>
      </c>
      <c r="D2030" s="25" t="inlineStr">
        <is>
          <t>Transformación Digital Y Adopción Tecnológica</t>
        </is>
      </c>
      <c r="E2030" s="26" t="n">
        <v>1000</v>
      </c>
      <c r="F2030" s="27">
        <f>E2030/Config!$B$1</f>
        <v/>
      </c>
      <c r="G2030" s="28" t="inlineStr">
        <is>
          <t>Estimado (mediana de categoría)</t>
        </is>
      </c>
    </row>
    <row r="2031" ht="15" customHeight="1" s="19">
      <c r="A2031" s="24" t="n">
        <v>6973</v>
      </c>
      <c r="B2031" s="25" t="inlineStr">
        <is>
          <t>Control para Agroindustria</t>
        </is>
      </c>
      <c r="C2031" s="24" t="inlineStr">
        <is>
          <t>Soluciones por Industria</t>
        </is>
      </c>
      <c r="D2031" s="25" t="inlineStr">
        <is>
          <t>Control De Costos Para Agroindustria.</t>
        </is>
      </c>
      <c r="E2031" s="26" t="n">
        <v>1500</v>
      </c>
      <c r="F2031" s="27">
        <f>E2031/Config!$B$1</f>
        <v/>
      </c>
      <c r="G2031" s="24" t="inlineStr">
        <is>
          <t>Real</t>
        </is>
      </c>
    </row>
    <row r="2032" ht="23.25" customHeight="1" s="19">
      <c r="A2032" s="24" t="n">
        <v>6610</v>
      </c>
      <c r="B2032" s="25" t="inlineStr">
        <is>
          <t>Corte de Césped Estándar</t>
        </is>
      </c>
      <c r="C2032" s="24" t="inlineStr">
        <is>
          <t>Soluciones por Industria</t>
        </is>
      </c>
      <c r="D2032" s="25" t="inlineStr">
        <is>
          <t>Corte Básico De Césped Para Mantener El Jardín Cuidado.</t>
        </is>
      </c>
      <c r="E2032" s="26" t="n">
        <v>20</v>
      </c>
      <c r="F2032" s="27">
        <f>E2032/Config!$B$1</f>
        <v/>
      </c>
      <c r="G2032" s="24" t="inlineStr">
        <is>
          <t>Real</t>
        </is>
      </c>
    </row>
    <row r="2033" ht="15" customHeight="1" s="19">
      <c r="A2033" s="24" t="n">
        <v>6019</v>
      </c>
      <c r="B2033" s="25" t="inlineStr">
        <is>
          <t>Desarrollo Blockchain</t>
        </is>
      </c>
      <c r="C2033" s="24" t="inlineStr">
        <is>
          <t>Soluciones por Industria</t>
        </is>
      </c>
      <c r="D2033" s="25" t="inlineStr">
        <is>
          <t>Blockchain</t>
        </is>
      </c>
      <c r="E2033" s="26" t="n">
        <v>1000</v>
      </c>
      <c r="F2033" s="27">
        <f>E2033/Config!$B$1</f>
        <v/>
      </c>
      <c r="G2033" s="28" t="inlineStr">
        <is>
          <t>Estimado (mediana de categoría)</t>
        </is>
      </c>
    </row>
    <row r="2034" ht="15" customHeight="1" s="19">
      <c r="A2034" s="24" t="n">
        <v>6022</v>
      </c>
      <c r="B2034" s="25" t="inlineStr">
        <is>
          <t>Desarrollo IoT</t>
        </is>
      </c>
      <c r="C2034" s="24" t="inlineStr">
        <is>
          <t>Soluciones por Industria</t>
        </is>
      </c>
      <c r="D2034" s="25" t="inlineStr">
        <is>
          <t>Iot</t>
        </is>
      </c>
      <c r="E2034" s="26" t="n">
        <v>1000</v>
      </c>
      <c r="F2034" s="27">
        <f>E2034/Config!$B$1</f>
        <v/>
      </c>
      <c r="G2034" s="28" t="inlineStr">
        <is>
          <t>Estimado (mediana de categoría)</t>
        </is>
      </c>
    </row>
    <row r="2035" ht="23.25" customHeight="1" s="19">
      <c r="A2035" s="24" t="n">
        <v>6968</v>
      </c>
      <c r="B2035" s="25" t="inlineStr">
        <is>
          <t>Desarrollo de Estrategias de Expansión para Minoristas</t>
        </is>
      </c>
      <c r="C2035" s="24" t="inlineStr">
        <is>
          <t>Soluciones por Industria</t>
        </is>
      </c>
      <c r="D2035" s="25" t="inlineStr">
        <is>
          <t>Desarrollo De Estrategias De Expansión Para Minoristas</t>
        </is>
      </c>
      <c r="E2035" s="26" t="n">
        <v>1000</v>
      </c>
      <c r="F2035" s="27">
        <f>E2035/Config!$B$1</f>
        <v/>
      </c>
      <c r="G2035" s="24" t="inlineStr">
        <is>
          <t>Real</t>
        </is>
      </c>
    </row>
    <row r="2036" ht="23.25" customHeight="1" s="19">
      <c r="A2036" s="24" t="n">
        <v>6948</v>
      </c>
      <c r="B2036" s="25" t="inlineStr">
        <is>
          <t>Desarrollo de Soluciones para Distribuidores y Mayoristas</t>
        </is>
      </c>
      <c r="C2036" s="24" t="inlineStr">
        <is>
          <t>Soluciones por Industria</t>
        </is>
      </c>
      <c r="D2036" s="25" t="inlineStr">
        <is>
          <t>Soluciones Para Distribuidores Y Mayoristas</t>
        </is>
      </c>
      <c r="E2036" s="26" t="n">
        <v>4800</v>
      </c>
      <c r="F2036" s="27">
        <f>E2036/Config!$B$1</f>
        <v/>
      </c>
      <c r="G2036" s="24" t="inlineStr">
        <is>
          <t>Real</t>
        </is>
      </c>
    </row>
    <row r="2037" ht="23.25" customHeight="1" s="19">
      <c r="A2037" s="24" t="n">
        <v>6374</v>
      </c>
      <c r="B2037" s="25" t="inlineStr">
        <is>
          <t>Desarrollo de sistemas de Internet de las Cosas (IoT)</t>
        </is>
      </c>
      <c r="C2037" s="24" t="inlineStr">
        <is>
          <t>Soluciones por Industria</t>
        </is>
      </c>
      <c r="D2037" s="25" t="inlineStr">
        <is>
          <t>Servicios De Creación De Soluciones Iot Para Automatización, Monitoreo Y Control De Dispositivos.</t>
        </is>
      </c>
      <c r="E2037" s="26" t="n">
        <v>22500</v>
      </c>
      <c r="F2037" s="27">
        <f>E2037/Config!$B$1</f>
        <v/>
      </c>
      <c r="G2037" s="24" t="inlineStr">
        <is>
          <t>Real</t>
        </is>
      </c>
    </row>
    <row r="2038" ht="23.25" customHeight="1" s="19">
      <c r="A2038" s="24" t="n">
        <v>8085</v>
      </c>
      <c r="B2038" s="25" t="inlineStr">
        <is>
          <t>Desarrollo de sistemas de Internet de las Cosas (IoT)</t>
        </is>
      </c>
      <c r="C2038" s="24" t="inlineStr">
        <is>
          <t>Soluciones por Industria</t>
        </is>
      </c>
      <c r="D2038" s="25" t="inlineStr">
        <is>
          <t>Servicios De Creación De Soluciones Iot Para Automatización, Monitoreo Y Control De Dispositivos.</t>
        </is>
      </c>
      <c r="E2038" s="26" t="n">
        <v>1000</v>
      </c>
      <c r="F2038" s="27">
        <f>E2038/Config!$B$1</f>
        <v/>
      </c>
      <c r="G2038" s="28" t="inlineStr">
        <is>
          <t>Estimado (mediana de categoría)</t>
        </is>
      </c>
    </row>
    <row r="2039" ht="23.25" customHeight="1" s="19">
      <c r="A2039" s="24" t="n">
        <v>8066</v>
      </c>
      <c r="B2039" s="25" t="inlineStr">
        <is>
          <t>Desarrollo de soluciones blockchain</t>
        </is>
      </c>
      <c r="C2039" s="24" t="inlineStr">
        <is>
          <t>Soluciones por Industria</t>
        </is>
      </c>
      <c r="D2039" s="25" t="inlineStr">
        <is>
          <t>Servicios De Creación De Soluciones Blockchain Para Diversos Sectores Y Casos De Uso.</t>
        </is>
      </c>
      <c r="E2039" s="26" t="n">
        <v>1000</v>
      </c>
      <c r="F2039" s="27">
        <f>E2039/Config!$B$1</f>
        <v/>
      </c>
      <c r="G2039" s="28" t="inlineStr">
        <is>
          <t>Estimado (mediana de categoría)</t>
        </is>
      </c>
    </row>
    <row r="2040" ht="15" customHeight="1" s="19">
      <c r="A2040" s="24" t="n">
        <v>7623</v>
      </c>
      <c r="B2040" s="25" t="inlineStr">
        <is>
          <t>Desarrollo de soluciones de Internet de las Cosas (IoT)</t>
        </is>
      </c>
      <c r="C2040" s="24" t="inlineStr">
        <is>
          <t>Soluciones por Industria</t>
        </is>
      </c>
      <c r="D2040" s="25" t="inlineStr">
        <is>
          <t>Soluciones De Iot</t>
        </is>
      </c>
      <c r="E2040" s="26" t="n">
        <v>1800</v>
      </c>
      <c r="F2040" s="27">
        <f>E2040/Config!$B$1</f>
        <v/>
      </c>
      <c r="G2040" s="24" t="inlineStr">
        <is>
          <t>Real</t>
        </is>
      </c>
    </row>
    <row r="2041" ht="23.25" customHeight="1" s="19">
      <c r="A2041" s="24" t="n">
        <v>6358</v>
      </c>
      <c r="B2041" s="25" t="inlineStr">
        <is>
          <t>Desarrollo de soluciones de Internet of Things (IoT)</t>
        </is>
      </c>
      <c r="C2041" s="24" t="inlineStr">
        <is>
          <t>Soluciones por Industria</t>
        </is>
      </c>
      <c r="D2041" s="25" t="inlineStr">
        <is>
          <t>Servicios De Creación De Soluciones De Internet Of Things Para Automatización, Monitoreo Y Control.</t>
        </is>
      </c>
      <c r="E2041" s="26" t="n">
        <v>19800</v>
      </c>
      <c r="F2041" s="27">
        <f>E2041/Config!$B$1</f>
        <v/>
      </c>
      <c r="G2041" s="24" t="inlineStr">
        <is>
          <t>Real</t>
        </is>
      </c>
    </row>
    <row r="2042" ht="23.25" customHeight="1" s="19">
      <c r="A2042" s="24" t="n">
        <v>8069</v>
      </c>
      <c r="B2042" s="25" t="inlineStr">
        <is>
          <t>Desarrollo de soluciones de Internet of Things (IoT)</t>
        </is>
      </c>
      <c r="C2042" s="24" t="inlineStr">
        <is>
          <t>Soluciones por Industria</t>
        </is>
      </c>
      <c r="D2042" s="25" t="inlineStr">
        <is>
          <t>Servicios De Creación De Soluciones De Internet Of Things Para Automatización, Monitoreo Y Control.</t>
        </is>
      </c>
      <c r="E2042" s="26" t="n">
        <v>1000</v>
      </c>
      <c r="F2042" s="27">
        <f>E2042/Config!$B$1</f>
        <v/>
      </c>
      <c r="G2042" s="28" t="inlineStr">
        <is>
          <t>Estimado (mediana de categoría)</t>
        </is>
      </c>
    </row>
    <row r="2043" ht="23.25" customHeight="1" s="19">
      <c r="A2043" s="24" t="n">
        <v>8090</v>
      </c>
      <c r="B2043" s="25" t="inlineStr">
        <is>
          <t>Desarrollo de soluciones de aprendizaje automático (machine learning)</t>
        </is>
      </c>
      <c r="C2043" s="24" t="inlineStr">
        <is>
          <t>Soluciones por Industria</t>
        </is>
      </c>
      <c r="D2043" s="25" t="inlineStr">
        <is>
          <t>Servicios De Desarrollo De Soluciones De Machine Learning Para Resolver Problemas Empresariales.</t>
        </is>
      </c>
      <c r="E2043" s="26" t="n">
        <v>1000</v>
      </c>
      <c r="F2043" s="27">
        <f>E2043/Config!$B$1</f>
        <v/>
      </c>
      <c r="G2043" s="28" t="inlineStr">
        <is>
          <t>Estimado (mediana de categoría)</t>
        </is>
      </c>
    </row>
    <row r="2044" ht="34.5" customHeight="1" s="19">
      <c r="A2044" s="24" t="n">
        <v>8084</v>
      </c>
      <c r="B2044" s="25" t="inlineStr">
        <is>
          <t>Desarrollo de soluciones de blockchain</t>
        </is>
      </c>
      <c r="C2044" s="24" t="inlineStr">
        <is>
          <t>Soluciones por Industria</t>
        </is>
      </c>
      <c r="D2044" s="25" t="inlineStr">
        <is>
          <t>Servicios De Creación De Soluciones Blockchain Para Áreas Como Finanzas, Cadena De Suministro Y Certificación.</t>
        </is>
      </c>
      <c r="E2044" s="26" t="n">
        <v>1000</v>
      </c>
      <c r="F2044" s="27">
        <f>E2044/Config!$B$1</f>
        <v/>
      </c>
      <c r="G2044" s="28" t="inlineStr">
        <is>
          <t>Estimado (mediana de categoría)</t>
        </is>
      </c>
    </row>
    <row r="2045" ht="23.25" customHeight="1" s="19">
      <c r="A2045" s="24" t="n">
        <v>8063</v>
      </c>
      <c r="B2045" s="25" t="inlineStr">
        <is>
          <t>Desarrollo de soluciones de inteligencia artificial</t>
        </is>
      </c>
      <c r="C2045" s="24" t="inlineStr">
        <is>
          <t>Soluciones por Industria</t>
        </is>
      </c>
      <c r="D2045" s="25" t="inlineStr">
        <is>
          <t>Servicios De Creación De Soluciones De Ia Para Automatización, Análisis Y Toma De Decisiones.</t>
        </is>
      </c>
      <c r="E2045" s="26" t="n">
        <v>1000</v>
      </c>
      <c r="F2045" s="27">
        <f>E2045/Config!$B$1</f>
        <v/>
      </c>
      <c r="G2045" s="28" t="inlineStr">
        <is>
          <t>Estimado (mediana de categoría)</t>
        </is>
      </c>
    </row>
    <row r="2046" ht="34.5" customHeight="1" s="19">
      <c r="A2046" s="24" t="n">
        <v>8068</v>
      </c>
      <c r="B2046" s="25" t="inlineStr">
        <is>
          <t>Desarrollo de soluciones de realidad aumentada</t>
        </is>
      </c>
      <c r="C2046" s="24" t="inlineStr">
        <is>
          <t>Soluciones por Industria</t>
        </is>
      </c>
      <c r="D2046" s="25" t="inlineStr">
        <is>
          <t>Servicios De Creación De Soluciones De Realidad Aumentada Para Aplicaciones Empresariales Y De Consumo.</t>
        </is>
      </c>
      <c r="E2046" s="26" t="n">
        <v>1000</v>
      </c>
      <c r="F2046" s="27">
        <f>E2046/Config!$B$1</f>
        <v/>
      </c>
      <c r="G2046" s="28" t="inlineStr">
        <is>
          <t>Estimado (mediana de categoría)</t>
        </is>
      </c>
    </row>
    <row r="2047" ht="23.25" customHeight="1" s="19">
      <c r="A2047" s="24" t="n">
        <v>8080</v>
      </c>
      <c r="B2047" s="25" t="inlineStr">
        <is>
          <t>Desarrollo de soluciones de realidad virtual</t>
        </is>
      </c>
      <c r="C2047" s="24" t="inlineStr">
        <is>
          <t>Soluciones por Industria</t>
        </is>
      </c>
      <c r="D2047" s="25" t="inlineStr">
        <is>
          <t>Servicios De Creación De Soluciones De Realidad Virtual Para Entornos Empresariales Y De Consumo.</t>
        </is>
      </c>
      <c r="E2047" s="26" t="n">
        <v>1000</v>
      </c>
      <c r="F2047" s="27">
        <f>E2047/Config!$B$1</f>
        <v/>
      </c>
      <c r="G2047" s="28" t="inlineStr">
        <is>
          <t>Estimado (mediana de categoría)</t>
        </is>
      </c>
    </row>
    <row r="2048" ht="23.25" customHeight="1" s="19">
      <c r="A2048" s="24" t="n">
        <v>7633</v>
      </c>
      <c r="B2048" s="25" t="inlineStr">
        <is>
          <t>Desarrollo de soluciones de tecnología financiera (FinTech)</t>
        </is>
      </c>
      <c r="C2048" s="24" t="inlineStr">
        <is>
          <t>Soluciones por Industria</t>
        </is>
      </c>
      <c r="D2048" s="25" t="inlineStr">
        <is>
          <t>Soluciones Fintech</t>
        </is>
      </c>
      <c r="E2048" s="26" t="n">
        <v>1800</v>
      </c>
      <c r="F2048" s="27">
        <f>E2048/Config!$B$1</f>
        <v/>
      </c>
      <c r="G2048" s="24" t="inlineStr">
        <is>
          <t>Real</t>
        </is>
      </c>
    </row>
    <row r="2049" ht="15" customHeight="1" s="19">
      <c r="A2049" s="24" t="n">
        <v>7605</v>
      </c>
      <c r="B2049" s="25" t="inlineStr">
        <is>
          <t>Desarrollo de soluciones de telemedicina</t>
        </is>
      </c>
      <c r="C2049" s="24" t="inlineStr">
        <is>
          <t>Soluciones por Industria</t>
        </is>
      </c>
      <c r="D2049" s="25" t="inlineStr">
        <is>
          <t>Desarrollo De Soluciones De Telemedicina</t>
        </is>
      </c>
      <c r="E2049" s="26" t="n">
        <v>1260</v>
      </c>
      <c r="F2049" s="27">
        <f>E2049/Config!$B$1</f>
        <v/>
      </c>
      <c r="G2049" s="24" t="inlineStr">
        <is>
          <t>Real</t>
        </is>
      </c>
    </row>
    <row r="2050" ht="15" customHeight="1" s="19">
      <c r="A2050" s="24" t="n">
        <v>7704</v>
      </c>
      <c r="B2050" s="25" t="inlineStr">
        <is>
          <t>Estrategia y transformación digital</t>
        </is>
      </c>
      <c r="C2050" s="24" t="inlineStr">
        <is>
          <t>Soluciones por Industria</t>
        </is>
      </c>
      <c r="D2050" s="25" t="inlineStr">
        <is>
          <t>Estrategia Y Transformación Digital</t>
        </is>
      </c>
      <c r="E2050" s="26" t="n">
        <v>1000</v>
      </c>
      <c r="F2050" s="27">
        <f>E2050/Config!$B$1</f>
        <v/>
      </c>
      <c r="G2050" s="28" t="inlineStr">
        <is>
          <t>Estimado (mediana de categoría)</t>
        </is>
      </c>
    </row>
    <row r="2051" ht="23.25" customHeight="1" s="19">
      <c r="A2051" s="24" t="n">
        <v>6963</v>
      </c>
      <c r="B2051" s="25" t="inlineStr">
        <is>
          <t>Evaluación de Estrategias de Mercado para Minoristas</t>
        </is>
      </c>
      <c r="C2051" s="24" t="inlineStr">
        <is>
          <t>Soluciones por Industria</t>
        </is>
      </c>
      <c r="D2051" s="25" t="inlineStr">
        <is>
          <t>Evaluación De Estrategias De Mercado Para Minoristas</t>
        </is>
      </c>
      <c r="E2051" s="26" t="n">
        <v>700</v>
      </c>
      <c r="F2051" s="27">
        <f>E2051/Config!$B$1</f>
        <v/>
      </c>
      <c r="G2051" s="24" t="inlineStr">
        <is>
          <t>Real</t>
        </is>
      </c>
    </row>
    <row r="2052" ht="15" customHeight="1" s="19">
      <c r="A2052" s="24" t="n">
        <v>7423</v>
      </c>
      <c r="B2052" s="25" t="inlineStr">
        <is>
          <t>Gestión de Cultivos</t>
        </is>
      </c>
      <c r="C2052" s="24" t="inlineStr">
        <is>
          <t>Soluciones por Industria</t>
        </is>
      </c>
      <c r="D2052" s="25" t="n"/>
      <c r="E2052" s="26" t="n">
        <v>1000</v>
      </c>
      <c r="F2052" s="27">
        <f>E2052/Config!$B$1</f>
        <v/>
      </c>
      <c r="G2052" s="28" t="inlineStr">
        <is>
          <t>Estimado (mediana de categoría)</t>
        </is>
      </c>
    </row>
    <row r="2053" ht="15" customHeight="1" s="19">
      <c r="A2053" s="24" t="n">
        <v>7708</v>
      </c>
      <c r="B2053" s="25" t="inlineStr">
        <is>
          <t>Gestión de la innovación</t>
        </is>
      </c>
      <c r="C2053" s="24" t="inlineStr">
        <is>
          <t>Soluciones por Industria</t>
        </is>
      </c>
      <c r="D2053" s="25" t="inlineStr">
        <is>
          <t>Gestión De La Innovación.</t>
        </is>
      </c>
      <c r="E2053" s="26" t="n">
        <v>1000</v>
      </c>
      <c r="F2053" s="27">
        <f>E2053/Config!$B$1</f>
        <v/>
      </c>
      <c r="G2053" s="28" t="inlineStr">
        <is>
          <t>Estimado (mediana de categoría)</t>
        </is>
      </c>
    </row>
    <row r="2054" ht="15" customHeight="1" s="19">
      <c r="A2054" s="24" t="n">
        <v>6974</v>
      </c>
      <c r="B2054" s="25" t="inlineStr">
        <is>
          <t>Gestión para Distribuidores y Mayoristas</t>
        </is>
      </c>
      <c r="C2054" s="24" t="inlineStr">
        <is>
          <t>Soluciones por Industria</t>
        </is>
      </c>
      <c r="D2054" s="25" t="inlineStr">
        <is>
          <t>Gestión Logística Y De Stock Para Distribuidores.</t>
        </is>
      </c>
      <c r="E2054" s="26" t="n">
        <v>1800</v>
      </c>
      <c r="F2054" s="27">
        <f>E2054/Config!$B$1</f>
        <v/>
      </c>
      <c r="G2054" s="24" t="inlineStr">
        <is>
          <t>Real</t>
        </is>
      </c>
    </row>
    <row r="2055" ht="15" customHeight="1" s="19">
      <c r="A2055" s="24" t="n">
        <v>7684</v>
      </c>
      <c r="B2055" s="25" t="inlineStr">
        <is>
          <t>IT Consultancy</t>
        </is>
      </c>
      <c r="C2055" s="24" t="inlineStr">
        <is>
          <t>Soluciones por Industria</t>
        </is>
      </c>
      <c r="D2055" s="25" t="inlineStr">
        <is>
          <t>Consultoría It</t>
        </is>
      </c>
      <c r="E2055" s="26" t="n">
        <v>1000</v>
      </c>
      <c r="F2055" s="27">
        <f>E2055/Config!$B$1</f>
        <v/>
      </c>
      <c r="G2055" s="28" t="inlineStr">
        <is>
          <t>Estimado (mediana de categoría)</t>
        </is>
      </c>
    </row>
    <row r="2056" ht="23.25" customHeight="1" s="19">
      <c r="A2056" s="24" t="n">
        <v>6960</v>
      </c>
      <c r="B2056" s="25" t="inlineStr">
        <is>
          <t>Implementación de Gestión de Inventarios para Minoristas</t>
        </is>
      </c>
      <c r="C2056" s="24" t="inlineStr">
        <is>
          <t>Soluciones por Industria</t>
        </is>
      </c>
      <c r="D2056" s="25" t="n"/>
      <c r="E2056" s="26" t="n">
        <v>800</v>
      </c>
      <c r="F2056" s="27">
        <f>E2056/Config!$B$1</f>
        <v/>
      </c>
      <c r="G2056" s="24" t="inlineStr">
        <is>
          <t>Real</t>
        </is>
      </c>
    </row>
    <row r="2057" ht="15" customHeight="1" s="19">
      <c r="A2057" s="24" t="n">
        <v>7816</v>
      </c>
      <c r="B2057" s="25" t="inlineStr">
        <is>
          <t>Implementación de Sistemas de Inteligencia Artificial</t>
        </is>
      </c>
      <c r="C2057" s="24" t="inlineStr">
        <is>
          <t>Soluciones por Industria</t>
        </is>
      </c>
      <c r="D2057" s="25" t="inlineStr">
        <is>
          <t>Sistemas De Ia</t>
        </is>
      </c>
      <c r="E2057" s="26" t="n">
        <v>1000</v>
      </c>
      <c r="F2057" s="27">
        <f>E2057/Config!$B$1</f>
        <v/>
      </c>
      <c r="G2057" s="28" t="inlineStr">
        <is>
          <t>Estimado (mediana de categoría)</t>
        </is>
      </c>
    </row>
    <row r="2058" ht="23.25" customHeight="1" s="19">
      <c r="A2058" s="24" t="n">
        <v>6949</v>
      </c>
      <c r="B2058" s="25" t="inlineStr">
        <is>
          <t>Implementación de Tecnologías Avanzadas para la Agroindustria</t>
        </is>
      </c>
      <c r="C2058" s="24" t="inlineStr">
        <is>
          <t>Soluciones por Industria</t>
        </is>
      </c>
      <c r="D2058" s="25" t="inlineStr">
        <is>
          <t>Tecnologías Para Agroindustria</t>
        </is>
      </c>
      <c r="E2058" s="26" t="n">
        <v>6800</v>
      </c>
      <c r="F2058" s="27">
        <f>E2058/Config!$B$1</f>
        <v/>
      </c>
      <c r="G2058" s="24" t="inlineStr">
        <is>
          <t>Real</t>
        </is>
      </c>
    </row>
    <row r="2059" ht="15" customHeight="1" s="19">
      <c r="A2059" s="24" t="n">
        <v>7608</v>
      </c>
      <c r="B2059" s="25" t="inlineStr">
        <is>
          <t>Implementación de soluciones de IoT</t>
        </is>
      </c>
      <c r="C2059" s="24" t="inlineStr">
        <is>
          <t>Soluciones por Industria</t>
        </is>
      </c>
      <c r="D2059" s="25" t="inlineStr">
        <is>
          <t>Soluciones De Iot</t>
        </is>
      </c>
      <c r="E2059" s="26" t="n">
        <v>1170</v>
      </c>
      <c r="F2059" s="27">
        <f>E2059/Config!$B$1</f>
        <v/>
      </c>
      <c r="G2059" s="24" t="inlineStr">
        <is>
          <t>Real</t>
        </is>
      </c>
    </row>
    <row r="2060" ht="15" customHeight="1" s="19">
      <c r="A2060" s="24" t="n">
        <v>7601</v>
      </c>
      <c r="B2060" s="25" t="inlineStr">
        <is>
          <t>Implementación de soluciones de gestión energética</t>
        </is>
      </c>
      <c r="C2060" s="24" t="inlineStr">
        <is>
          <t>Soluciones por Industria</t>
        </is>
      </c>
      <c r="D2060" s="25" t="inlineStr">
        <is>
          <t>Soluciones De Gestión Energética</t>
        </is>
      </c>
      <c r="E2060" s="26" t="n">
        <v>810</v>
      </c>
      <c r="F2060" s="27">
        <f>E2060/Config!$B$1</f>
        <v/>
      </c>
      <c r="G2060" s="24" t="inlineStr">
        <is>
          <t>Real</t>
        </is>
      </c>
    </row>
    <row r="2061" ht="23.25" customHeight="1" s="19">
      <c r="A2061" s="24" t="n">
        <v>7806</v>
      </c>
      <c r="B2061" s="25" t="inlineStr">
        <is>
          <t>Innovación y nuevos modelos de negocio digitales</t>
        </is>
      </c>
      <c r="C2061" s="24" t="inlineStr">
        <is>
          <t>Soluciones por Industria</t>
        </is>
      </c>
      <c r="D2061" s="25" t="inlineStr">
        <is>
          <t>Innovación Y Desarrollo De Nuevos Modelos De Negocio Digitales.</t>
        </is>
      </c>
      <c r="E2061" s="26" t="n">
        <v>1000</v>
      </c>
      <c r="F2061" s="27">
        <f>E2061/Config!$B$1</f>
        <v/>
      </c>
      <c r="G2061" s="28" t="inlineStr">
        <is>
          <t>Estimado (mediana de categoría)</t>
        </is>
      </c>
    </row>
    <row r="2062" ht="23.25" customHeight="1" s="19">
      <c r="A2062" s="24" t="n">
        <v>6611</v>
      </c>
      <c r="B2062" s="25" t="inlineStr">
        <is>
          <t>Instalación de Aire Acondicionado</t>
        </is>
      </c>
      <c r="C2062" s="24" t="inlineStr">
        <is>
          <t>Soluciones por Industria</t>
        </is>
      </c>
      <c r="D2062" s="25" t="inlineStr">
        <is>
          <t>Instalación Profesional De Aire Acondicionado Para El Hogar.</t>
        </is>
      </c>
      <c r="E2062" s="26" t="n">
        <v>135</v>
      </c>
      <c r="F2062" s="27">
        <f>E2062/Config!$B$1</f>
        <v/>
      </c>
      <c r="G2062" s="24" t="inlineStr">
        <is>
          <t>Real</t>
        </is>
      </c>
    </row>
    <row r="2063" ht="23.25" customHeight="1" s="19">
      <c r="A2063" s="24" t="n">
        <v>6622</v>
      </c>
      <c r="B2063" s="25" t="inlineStr">
        <is>
          <t>Instalación de Cortinas</t>
        </is>
      </c>
      <c r="C2063" s="24" t="inlineStr">
        <is>
          <t>Soluciones por Industria</t>
        </is>
      </c>
      <c r="D2063" s="25" t="inlineStr">
        <is>
          <t>Instalación Profesional De Cortinas O Persianas En El Hogar.</t>
        </is>
      </c>
      <c r="E2063" s="26" t="n">
        <v>50</v>
      </c>
      <c r="F2063" s="27">
        <f>E2063/Config!$B$1</f>
        <v/>
      </c>
      <c r="G2063" s="24" t="inlineStr">
        <is>
          <t>Real</t>
        </is>
      </c>
    </row>
    <row r="2064" ht="23.25" customHeight="1" s="19">
      <c r="A2064" s="24" t="n">
        <v>6629</v>
      </c>
      <c r="B2064" s="25" t="inlineStr">
        <is>
          <t>Instalación de Electrodomésticos</t>
        </is>
      </c>
      <c r="C2064" s="24" t="inlineStr">
        <is>
          <t>Soluciones por Industria</t>
        </is>
      </c>
      <c r="D2064" s="25" t="inlineStr">
        <is>
          <t>Instalación Profesional De Electrodomésticos En El Hogar.</t>
        </is>
      </c>
      <c r="E2064" s="26" t="n">
        <v>70</v>
      </c>
      <c r="F2064" s="27">
        <f>E2064/Config!$B$1</f>
        <v/>
      </c>
      <c r="G2064" s="24" t="inlineStr">
        <is>
          <t>Real</t>
        </is>
      </c>
    </row>
    <row r="2065" ht="23.25" customHeight="1" s="19">
      <c r="A2065" s="24" t="n">
        <v>6626</v>
      </c>
      <c r="B2065" s="25" t="inlineStr">
        <is>
          <t>Instalación de Iluminación</t>
        </is>
      </c>
      <c r="C2065" s="24" t="inlineStr">
        <is>
          <t>Soluciones por Industria</t>
        </is>
      </c>
      <c r="D2065" s="25" t="inlineStr">
        <is>
          <t>Instalación Experta De Sistemas De Iluminación En El Hogar.</t>
        </is>
      </c>
      <c r="E2065" s="26" t="n">
        <v>100</v>
      </c>
      <c r="F2065" s="27">
        <f>E2065/Config!$B$1</f>
        <v/>
      </c>
      <c r="G2065" s="24" t="inlineStr">
        <is>
          <t>Real</t>
        </is>
      </c>
    </row>
    <row r="2066" ht="15" customHeight="1" s="19">
      <c r="A2066" s="24" t="n">
        <v>6972</v>
      </c>
      <c r="B2066" s="25" t="inlineStr">
        <is>
          <t>Integración para Minoristas</t>
        </is>
      </c>
      <c r="C2066" s="24" t="inlineStr">
        <is>
          <t>Soluciones por Industria</t>
        </is>
      </c>
      <c r="D2066" s="25" t="inlineStr">
        <is>
          <t>Integración De Ecommerce Para Minoristas.</t>
        </is>
      </c>
      <c r="E2066" s="26" t="n">
        <v>1800</v>
      </c>
      <c r="F2066" s="27">
        <f>E2066/Config!$B$1</f>
        <v/>
      </c>
      <c r="G2066" s="24" t="inlineStr">
        <is>
          <t>Real</t>
        </is>
      </c>
    </row>
    <row r="2067" ht="15" customHeight="1" s="19">
      <c r="A2067" s="24" t="n">
        <v>7716</v>
      </c>
      <c r="B2067" s="25" t="inlineStr">
        <is>
          <t>Inteligencia artificial aplicada</t>
        </is>
      </c>
      <c r="C2067" s="24" t="inlineStr">
        <is>
          <t>Soluciones por Industria</t>
        </is>
      </c>
      <c r="D2067" s="25" t="inlineStr">
        <is>
          <t>Ia Aplicada</t>
        </is>
      </c>
      <c r="E2067" s="26" t="n">
        <v>1000</v>
      </c>
      <c r="F2067" s="27">
        <f>E2067/Config!$B$1</f>
        <v/>
      </c>
      <c r="G2067" s="28" t="inlineStr">
        <is>
          <t>Estimado (mediana de categoría)</t>
        </is>
      </c>
    </row>
    <row r="2068" ht="23.25" customHeight="1" s="19">
      <c r="A2068" s="24" t="n">
        <v>7808</v>
      </c>
      <c r="B2068" s="25" t="inlineStr">
        <is>
          <t>Inteligencia artificial y aprendizaje automático</t>
        </is>
      </c>
      <c r="C2068" s="24" t="inlineStr">
        <is>
          <t>Soluciones por Industria</t>
        </is>
      </c>
      <c r="D2068" s="25" t="inlineStr">
        <is>
          <t>Soluciones De Ia Y Ml Para Automatización De Procesos.</t>
        </is>
      </c>
      <c r="E2068" s="26" t="n">
        <v>1000</v>
      </c>
      <c r="F2068" s="27">
        <f>E2068/Config!$B$1</f>
        <v/>
      </c>
      <c r="G2068" s="28" t="inlineStr">
        <is>
          <t>Estimado (mediana de categoría)</t>
        </is>
      </c>
    </row>
    <row r="2069" ht="15" customHeight="1" s="19">
      <c r="A2069" s="24" t="n">
        <v>6108</v>
      </c>
      <c r="B2069" s="25" t="inlineStr">
        <is>
          <t>Internet of Things (IoT)</t>
        </is>
      </c>
      <c r="C2069" s="24" t="inlineStr">
        <is>
          <t>Soluciones por Industria</t>
        </is>
      </c>
      <c r="D2069" s="25" t="inlineStr">
        <is>
          <t>Soluciones Iot</t>
        </is>
      </c>
      <c r="E2069" s="26" t="n">
        <v>6500</v>
      </c>
      <c r="F2069" s="27">
        <f>E2069/Config!$B$1</f>
        <v/>
      </c>
      <c r="G2069" s="24" t="inlineStr">
        <is>
          <t>Real</t>
        </is>
      </c>
    </row>
    <row r="2070" ht="23.25" customHeight="1" s="19">
      <c r="A2070" s="24" t="n">
        <v>6618</v>
      </c>
      <c r="B2070" s="25" t="inlineStr">
        <is>
          <t>Limpieza de Alfombras</t>
        </is>
      </c>
      <c r="C2070" s="24" t="inlineStr">
        <is>
          <t>Soluciones por Industria</t>
        </is>
      </c>
      <c r="D2070" s="25" t="inlineStr">
        <is>
          <t>Servicio De Limpieza Avanzada Para Recuperar El Aspecto De Las Alfombras.</t>
        </is>
      </c>
      <c r="E2070" s="26" t="n">
        <v>70</v>
      </c>
      <c r="F2070" s="27">
        <f>E2070/Config!$B$1</f>
        <v/>
      </c>
      <c r="G2070" s="24" t="inlineStr">
        <is>
          <t>Real</t>
        </is>
      </c>
    </row>
    <row r="2071" ht="23.25" customHeight="1" s="19">
      <c r="A2071" s="24" t="n">
        <v>6628</v>
      </c>
      <c r="B2071" s="25" t="inlineStr">
        <is>
          <t>Limpieza de Chimeneas</t>
        </is>
      </c>
      <c r="C2071" s="24" t="inlineStr">
        <is>
          <t>Soluciones por Industria</t>
        </is>
      </c>
      <c r="D2071" s="25" t="inlineStr">
        <is>
          <t>Servicio Especializado Para Mantener En Buen Estado Las Chimeneas.</t>
        </is>
      </c>
      <c r="E2071" s="26" t="n">
        <v>80</v>
      </c>
      <c r="F2071" s="27">
        <f>E2071/Config!$B$1</f>
        <v/>
      </c>
      <c r="G2071" s="24" t="inlineStr">
        <is>
          <t>Real</t>
        </is>
      </c>
    </row>
    <row r="2072" ht="23.25" customHeight="1" s="19">
      <c r="A2072" s="24" t="n">
        <v>6623</v>
      </c>
      <c r="B2072" s="25" t="inlineStr">
        <is>
          <t>Limpieza de Ventanas</t>
        </is>
      </c>
      <c r="C2072" s="24" t="inlineStr">
        <is>
          <t>Soluciones por Industria</t>
        </is>
      </c>
      <c r="D2072" s="25" t="inlineStr">
        <is>
          <t>Servicio De Limpieza Profunda De Ventanas Del Hogar.</t>
        </is>
      </c>
      <c r="E2072" s="26" t="n">
        <v>40</v>
      </c>
      <c r="F2072" s="27">
        <f>E2072/Config!$B$1</f>
        <v/>
      </c>
      <c r="G2072" s="24" t="inlineStr">
        <is>
          <t>Real</t>
        </is>
      </c>
    </row>
    <row r="2073" ht="23.25" customHeight="1" s="19">
      <c r="A2073" s="24" t="n">
        <v>6633</v>
      </c>
      <c r="B2073" s="25" t="inlineStr">
        <is>
          <t>Mantenimiento de Aire Acondicionado</t>
        </is>
      </c>
      <c r="C2073" s="24" t="inlineStr">
        <is>
          <t>Soluciones por Industria</t>
        </is>
      </c>
      <c r="D2073" s="25" t="inlineStr">
        <is>
          <t>Mantenimiento Preventivo Para Un Aire Acondicionado Eficiente.</t>
        </is>
      </c>
      <c r="E2073" s="26" t="n">
        <v>80</v>
      </c>
      <c r="F2073" s="27">
        <f>E2073/Config!$B$1</f>
        <v/>
      </c>
      <c r="G2073" s="24" t="inlineStr">
        <is>
          <t>Real</t>
        </is>
      </c>
    </row>
    <row r="2074" ht="23.25" customHeight="1" s="19">
      <c r="A2074" s="24" t="n">
        <v>6614</v>
      </c>
      <c r="B2074" s="25" t="inlineStr">
        <is>
          <t>Mantenimiento de Jardín Básico</t>
        </is>
      </c>
      <c r="C2074" s="24" t="inlineStr">
        <is>
          <t>Soluciones por Industria</t>
        </is>
      </c>
      <c r="D2074" s="25" t="inlineStr">
        <is>
          <t>Cuidado Básico Del Jardín Para Mantenerlo Ordenado.</t>
        </is>
      </c>
      <c r="E2074" s="26" t="n">
        <v>35</v>
      </c>
      <c r="F2074" s="27">
        <f>E2074/Config!$B$1</f>
        <v/>
      </c>
      <c r="G2074" s="24" t="inlineStr">
        <is>
          <t>Real</t>
        </is>
      </c>
    </row>
    <row r="2075" ht="23.25" customHeight="1" s="19">
      <c r="A2075" s="24" t="n">
        <v>6620</v>
      </c>
      <c r="B2075" s="25" t="inlineStr">
        <is>
          <t>Mantenimiento de Piscina</t>
        </is>
      </c>
      <c r="C2075" s="24" t="inlineStr">
        <is>
          <t>Soluciones por Industria</t>
        </is>
      </c>
      <c r="D2075" s="25" t="inlineStr">
        <is>
          <t>Servicio Completo Para Mantener La Piscina En Óptimas Condiciones.</t>
        </is>
      </c>
      <c r="E2075" s="26" t="n">
        <v>50</v>
      </c>
      <c r="F2075" s="27">
        <f>E2075/Config!$B$1</f>
        <v/>
      </c>
      <c r="G2075" s="24" t="inlineStr">
        <is>
          <t>Real</t>
        </is>
      </c>
    </row>
    <row r="2076" ht="15" customHeight="1" s="19">
      <c r="A2076" s="24" t="n">
        <v>6631</v>
      </c>
      <c r="B2076" s="25" t="inlineStr">
        <is>
          <t>Mudanza Local</t>
        </is>
      </c>
      <c r="C2076" s="24" t="inlineStr">
        <is>
          <t>Soluciones por Industria</t>
        </is>
      </c>
      <c r="D2076" s="25" t="inlineStr">
        <is>
          <t>Mudanza Local Eficiente Y Confiable Para El Hogar.</t>
        </is>
      </c>
      <c r="E2076" s="26" t="n">
        <v>250</v>
      </c>
      <c r="F2076" s="27">
        <f>E2076/Config!$B$1</f>
        <v/>
      </c>
      <c r="G2076" s="24" t="inlineStr">
        <is>
          <t>Real</t>
        </is>
      </c>
    </row>
    <row r="2077" ht="15" customHeight="1" s="19">
      <c r="A2077" s="24" t="n">
        <v>6615</v>
      </c>
      <c r="B2077" s="25" t="inlineStr">
        <is>
          <t>Mudanza Pequeña</t>
        </is>
      </c>
      <c r="C2077" s="24" t="inlineStr">
        <is>
          <t>Soluciones por Industria</t>
        </is>
      </c>
      <c r="D2077" s="25" t="inlineStr">
        <is>
          <t>Servicio De Mudanza Para Espacios Pequeños.</t>
        </is>
      </c>
      <c r="E2077" s="26" t="n">
        <v>100</v>
      </c>
      <c r="F2077" s="27">
        <f>E2077/Config!$B$1</f>
        <v/>
      </c>
      <c r="G2077" s="24" t="inlineStr">
        <is>
          <t>Real</t>
        </is>
      </c>
    </row>
    <row r="2078" ht="15" customHeight="1" s="19">
      <c r="A2078" s="24" t="n">
        <v>6966</v>
      </c>
      <c r="B2078" s="25" t="inlineStr">
        <is>
          <t>Optimización de Procesos para Minoristas</t>
        </is>
      </c>
      <c r="C2078" s="24" t="inlineStr">
        <is>
          <t>Soluciones por Industria</t>
        </is>
      </c>
      <c r="D2078" s="25" t="inlineStr">
        <is>
          <t>Optimización De Procesos Para Minoristas</t>
        </is>
      </c>
      <c r="E2078" s="26" t="n">
        <v>900</v>
      </c>
      <c r="F2078" s="27">
        <f>E2078/Config!$B$1</f>
        <v/>
      </c>
      <c r="G2078" s="24" t="inlineStr">
        <is>
          <t>Real</t>
        </is>
      </c>
    </row>
    <row r="2079" ht="15" customHeight="1" s="19">
      <c r="A2079" s="24" t="n">
        <v>6971</v>
      </c>
      <c r="B2079" s="25" t="inlineStr">
        <is>
          <t>Optimización para Manufactura</t>
        </is>
      </c>
      <c r="C2079" s="24" t="inlineStr">
        <is>
          <t>Soluciones por Industria</t>
        </is>
      </c>
      <c r="D2079" s="25" t="inlineStr">
        <is>
          <t>Optimización En Manufactura.</t>
        </is>
      </c>
      <c r="E2079" s="26" t="n">
        <v>4500</v>
      </c>
      <c r="F2079" s="27">
        <f>E2079/Config!$B$1</f>
        <v/>
      </c>
      <c r="G2079" s="24" t="inlineStr">
        <is>
          <t>Real</t>
        </is>
      </c>
    </row>
    <row r="2080" ht="15" customHeight="1" s="19">
      <c r="A2080" s="24" t="n">
        <v>6961</v>
      </c>
      <c r="B2080" s="25" t="inlineStr">
        <is>
          <t>Personalización de Plataforma para Minoristas</t>
        </is>
      </c>
      <c r="C2080" s="24" t="inlineStr">
        <is>
          <t>Soluciones por Industria</t>
        </is>
      </c>
      <c r="D2080" s="25" t="n"/>
      <c r="E2080" s="26" t="n">
        <v>300</v>
      </c>
      <c r="F2080" s="27">
        <f>E2080/Config!$B$1</f>
        <v/>
      </c>
      <c r="G2080" s="24" t="inlineStr">
        <is>
          <t>Real</t>
        </is>
      </c>
    </row>
    <row r="2081" ht="23.25" customHeight="1" s="19">
      <c r="A2081" s="24" t="n">
        <v>6634</v>
      </c>
      <c r="B2081" s="25" t="inlineStr">
        <is>
          <t>Pintura Interior</t>
        </is>
      </c>
      <c r="C2081" s="24" t="inlineStr">
        <is>
          <t>Soluciones por Industria</t>
        </is>
      </c>
      <c r="D2081" s="25" t="inlineStr">
        <is>
          <t>Renovación Y Cambio De Imagen De Los Espacios Interiores.</t>
        </is>
      </c>
      <c r="E2081" s="26" t="n">
        <v>250</v>
      </c>
      <c r="F2081" s="27">
        <f>E2081/Config!$B$1</f>
        <v/>
      </c>
      <c r="G2081" s="24" t="inlineStr">
        <is>
          <t>Real</t>
        </is>
      </c>
    </row>
    <row r="2082" ht="15" customHeight="1" s="19">
      <c r="A2082" s="24" t="n">
        <v>6613</v>
      </c>
      <c r="B2082" s="25" t="inlineStr">
        <is>
          <t>Pintura de Habitación</t>
        </is>
      </c>
      <c r="C2082" s="24" t="inlineStr">
        <is>
          <t>Soluciones por Industria</t>
        </is>
      </c>
      <c r="D2082" s="25" t="inlineStr">
        <is>
          <t>Renovación De Pintura En Una Habitación Del Hogar.</t>
        </is>
      </c>
      <c r="E2082" s="26" t="n">
        <v>120</v>
      </c>
      <c r="F2082" s="27">
        <f>E2082/Config!$B$1</f>
        <v/>
      </c>
      <c r="G2082" s="24" t="inlineStr">
        <is>
          <t>Real</t>
        </is>
      </c>
    </row>
    <row r="2083" ht="23.25" customHeight="1" s="19">
      <c r="A2083" s="24" t="n">
        <v>6625</v>
      </c>
      <c r="B2083" s="25" t="inlineStr">
        <is>
          <t>Pintura de Interiores</t>
        </is>
      </c>
      <c r="C2083" s="24" t="inlineStr">
        <is>
          <t>Soluciones por Industria</t>
        </is>
      </c>
      <c r="D2083" s="25" t="inlineStr">
        <is>
          <t>Servicio De Pintura Profesional Para Renovar Los Ambientes Interiores.</t>
        </is>
      </c>
      <c r="E2083" s="26" t="n">
        <v>250</v>
      </c>
      <c r="F2083" s="27">
        <f>E2083/Config!$B$1</f>
        <v/>
      </c>
      <c r="G2083" s="24" t="inlineStr">
        <is>
          <t>Real</t>
        </is>
      </c>
    </row>
    <row r="2084" ht="15" customHeight="1" s="19">
      <c r="A2084" s="24" t="n">
        <v>6962</v>
      </c>
      <c r="B2084" s="25" t="inlineStr">
        <is>
          <t>Planificación de Producción para Minoristas</t>
        </is>
      </c>
      <c r="C2084" s="24" t="inlineStr">
        <is>
          <t>Soluciones por Industria</t>
        </is>
      </c>
      <c r="D2084" s="25" t="n"/>
      <c r="E2084" s="26" t="n">
        <v>1200</v>
      </c>
      <c r="F2084" s="27">
        <f>E2084/Config!$B$1</f>
        <v/>
      </c>
      <c r="G2084" s="24" t="inlineStr">
        <is>
          <t>Real</t>
        </is>
      </c>
    </row>
    <row r="2085" ht="23.25" customHeight="1" s="19">
      <c r="A2085" s="24" t="n">
        <v>6619</v>
      </c>
      <c r="B2085" s="25" t="inlineStr">
        <is>
          <t>Poda de Arboles</t>
        </is>
      </c>
      <c r="C2085" s="24" t="inlineStr">
        <is>
          <t>Soluciones por Industria</t>
        </is>
      </c>
      <c r="D2085" s="25" t="inlineStr">
        <is>
          <t>Servicio Profesional De Poda Y Recorte De Árboles Del Jardín.</t>
        </is>
      </c>
      <c r="E2085" s="26" t="n">
        <v>120</v>
      </c>
      <c r="F2085" s="27">
        <f>E2085/Config!$B$1</f>
        <v/>
      </c>
      <c r="G2085" s="24" t="inlineStr">
        <is>
          <t>Real</t>
        </is>
      </c>
    </row>
    <row r="2086" ht="23.25" customHeight="1" s="19">
      <c r="A2086" s="24" t="n">
        <v>6632</v>
      </c>
      <c r="B2086" s="25" t="inlineStr">
        <is>
          <t>Poda de Árboles</t>
        </is>
      </c>
      <c r="C2086" s="24" t="inlineStr">
        <is>
          <t>Soluciones por Industria</t>
        </is>
      </c>
      <c r="D2086" s="25" t="inlineStr">
        <is>
          <t>Poda Profesional Para Mantener Árboles Sanos Y Cuidados.</t>
        </is>
      </c>
      <c r="E2086" s="26" t="n">
        <v>180</v>
      </c>
      <c r="F2086" s="27">
        <f>E2086/Config!$B$1</f>
        <v/>
      </c>
      <c r="G2086" s="24" t="inlineStr">
        <is>
          <t>Real</t>
        </is>
      </c>
    </row>
    <row r="2087" ht="23.25" customHeight="1" s="19">
      <c r="A2087" s="24" t="n">
        <v>7713</v>
      </c>
      <c r="B2087" s="25" t="inlineStr">
        <is>
          <t>Realidad Aumentada y Virtual: Experiencias Inmersivas para Mejorar la Experiencia del Usuario</t>
        </is>
      </c>
      <c r="C2087" s="24" t="inlineStr">
        <is>
          <t>Soluciones por Industria</t>
        </is>
      </c>
      <c r="D2087" s="25" t="inlineStr">
        <is>
          <t>Realidad Aumentada y Virtual: Una nueva dimensión de experiencias</t>
        </is>
      </c>
      <c r="E2087" s="26" t="n">
        <v>1000</v>
      </c>
      <c r="F2087" s="27">
        <f>E2087/Config!$B$1</f>
        <v/>
      </c>
      <c r="G2087" s="28" t="inlineStr">
        <is>
          <t>Estimado (mediana de categoría)</t>
        </is>
      </c>
    </row>
    <row r="2088" ht="15" customHeight="1" s="19">
      <c r="A2088" s="24" t="n">
        <v>5931</v>
      </c>
      <c r="B2088" s="25" t="inlineStr">
        <is>
          <t>Realidad aumentada y virtual</t>
        </is>
      </c>
      <c r="C2088" s="24" t="inlineStr">
        <is>
          <t>Soluciones por Industria</t>
        </is>
      </c>
      <c r="D2088" s="25" t="inlineStr">
        <is>
          <t>Real</t>
        </is>
      </c>
      <c r="E2088" s="26" t="n">
        <v>6500</v>
      </c>
      <c r="F2088" s="27">
        <f>E2088/Config!$B$1</f>
        <v/>
      </c>
      <c r="G2088" s="24" t="inlineStr">
        <is>
          <t>Real</t>
        </is>
      </c>
    </row>
    <row r="2089" ht="15" customHeight="1" s="19">
      <c r="A2089" s="24" t="n">
        <v>6621</v>
      </c>
      <c r="B2089" s="25" t="inlineStr">
        <is>
          <t>Reparación de Cerraduras</t>
        </is>
      </c>
      <c r="C2089" s="24" t="inlineStr">
        <is>
          <t>Soluciones por Industria</t>
        </is>
      </c>
      <c r="D2089" s="25" t="inlineStr">
        <is>
          <t>Solución A Problemas Con Cerraduras Del Hogar.</t>
        </is>
      </c>
      <c r="E2089" s="26" t="n">
        <v>35</v>
      </c>
      <c r="F2089" s="27">
        <f>E2089/Config!$B$1</f>
        <v/>
      </c>
      <c r="G2089" s="24" t="inlineStr">
        <is>
          <t>Real</t>
        </is>
      </c>
    </row>
    <row r="2090" ht="23.25" customHeight="1" s="19">
      <c r="A2090" s="24" t="n">
        <v>6616</v>
      </c>
      <c r="B2090" s="25" t="inlineStr">
        <is>
          <t>Reparación de Electrodomésticos</t>
        </is>
      </c>
      <c r="C2090" s="24" t="inlineStr">
        <is>
          <t>Soluciones por Industria</t>
        </is>
      </c>
      <c r="D2090" s="25" t="inlineStr">
        <is>
          <t>Solución A Problemas En Electrodomésticos Del Hogar.</t>
        </is>
      </c>
      <c r="E2090" s="26" t="n">
        <v>60</v>
      </c>
      <c r="F2090" s="27">
        <f>E2090/Config!$B$1</f>
        <v/>
      </c>
      <c r="G2090" s="24" t="inlineStr">
        <is>
          <t>Real</t>
        </is>
      </c>
    </row>
    <row r="2091" ht="23.25" customHeight="1" s="19">
      <c r="A2091" s="24" t="n">
        <v>6630</v>
      </c>
      <c r="B2091" s="25" t="inlineStr">
        <is>
          <t>Reparación de Muebles</t>
        </is>
      </c>
      <c r="C2091" s="24" t="inlineStr">
        <is>
          <t>Soluciones por Industria</t>
        </is>
      </c>
      <c r="D2091" s="25" t="inlineStr">
        <is>
          <t>Solución A Problemas Y Daños En Muebles Del Hogar.</t>
        </is>
      </c>
      <c r="E2091" s="26" t="n">
        <v>120</v>
      </c>
      <c r="F2091" s="27">
        <f>E2091/Config!$B$1</f>
        <v/>
      </c>
      <c r="G2091" s="24" t="inlineStr">
        <is>
          <t>Real</t>
        </is>
      </c>
    </row>
    <row r="2092" ht="23.25" customHeight="1" s="19">
      <c r="A2092" s="24" t="n">
        <v>6612</v>
      </c>
      <c r="B2092" s="25" t="inlineStr">
        <is>
          <t>Reparación de Plomería</t>
        </is>
      </c>
      <c r="C2092" s="24" t="inlineStr">
        <is>
          <t>Soluciones por Industria</t>
        </is>
      </c>
      <c r="D2092" s="25" t="inlineStr">
        <is>
          <t>Solución Profesional A Problemas De Plomería En El Hogar.</t>
        </is>
      </c>
      <c r="E2092" s="26" t="n">
        <v>70</v>
      </c>
      <c r="F2092" s="27">
        <f>E2092/Config!$B$1</f>
        <v/>
      </c>
      <c r="G2092" s="24" t="inlineStr">
        <is>
          <t>Real</t>
        </is>
      </c>
    </row>
    <row r="2093" ht="15" customHeight="1" s="19">
      <c r="A2093" s="24" t="n">
        <v>7596</v>
      </c>
      <c r="B2093" s="25" t="inlineStr">
        <is>
          <t>Servicio</t>
        </is>
      </c>
      <c r="C2093" s="24" t="inlineStr">
        <is>
          <t>Soluciones por Industria</t>
        </is>
      </c>
      <c r="D2093" s="25" t="inlineStr">
        <is>
          <t>Nombre Corto</t>
        </is>
      </c>
      <c r="E2093" s="26" t="n">
        <v>1000</v>
      </c>
      <c r="F2093" s="27">
        <f>E2093/Config!$B$1</f>
        <v/>
      </c>
      <c r="G2093" s="28" t="inlineStr">
        <is>
          <t>Estimado (mediana de categoría)</t>
        </is>
      </c>
    </row>
    <row r="2094" ht="23.25" customHeight="1" s="19">
      <c r="A2094" s="24" t="n">
        <v>6627</v>
      </c>
      <c r="B2094" s="25" t="inlineStr">
        <is>
          <t>Servicio de Jardinería Integral</t>
        </is>
      </c>
      <c r="C2094" s="24" t="inlineStr">
        <is>
          <t>Soluciones por Industria</t>
        </is>
      </c>
      <c r="D2094" s="25" t="inlineStr">
        <is>
          <t>Servicio Integral Para El Cuidado Y Embellecimiento Del Jardín.</t>
        </is>
      </c>
      <c r="E2094" s="26" t="n">
        <v>180</v>
      </c>
      <c r="F2094" s="27">
        <f>E2094/Config!$B$1</f>
        <v/>
      </c>
      <c r="G2094" s="24" t="inlineStr">
        <is>
          <t>Real</t>
        </is>
      </c>
    </row>
    <row r="2095" ht="15" customHeight="1" s="19">
      <c r="A2095" s="24" t="n">
        <v>6609</v>
      </c>
      <c r="B2095" s="25" t="inlineStr">
        <is>
          <t>Servicio de Limpieza Premium</t>
        </is>
      </c>
      <c r="C2095" s="24" t="inlineStr">
        <is>
          <t>Soluciones por Industria</t>
        </is>
      </c>
      <c r="D2095" s="25" t="inlineStr">
        <is>
          <t>Limpieza Integral Del Hogar Por Personal Experto.</t>
        </is>
      </c>
      <c r="E2095" s="26" t="n">
        <v>45</v>
      </c>
      <c r="F2095" s="27">
        <f>E2095/Config!$B$1</f>
        <v/>
      </c>
      <c r="G2095" s="24" t="inlineStr">
        <is>
          <t>Real</t>
        </is>
      </c>
    </row>
    <row r="2096" ht="15" customHeight="1" s="19">
      <c r="A2096" s="24" t="n">
        <v>6624</v>
      </c>
      <c r="B2096" s="25" t="inlineStr">
        <is>
          <t>Servicio de Plomería</t>
        </is>
      </c>
      <c r="C2096" s="24" t="inlineStr">
        <is>
          <t>Soluciones por Industria</t>
        </is>
      </c>
      <c r="D2096" s="25" t="inlineStr">
        <is>
          <t>Solución A Problemas De Plomería En El Hogar.</t>
        </is>
      </c>
      <c r="E2096" s="26" t="n">
        <v>70</v>
      </c>
      <c r="F2096" s="27">
        <f>E2096/Config!$B$1</f>
        <v/>
      </c>
      <c r="G2096" s="24" t="inlineStr">
        <is>
          <t>Real</t>
        </is>
      </c>
    </row>
    <row r="2097" ht="15" customHeight="1" s="19">
      <c r="A2097" s="24" t="n">
        <v>6035</v>
      </c>
      <c r="B2097" s="25" t="inlineStr">
        <is>
          <t>Servicios de Diseño y Desarrollo de Aplicaciones IoT</t>
        </is>
      </c>
      <c r="C2097" s="24" t="inlineStr">
        <is>
          <t>Soluciones por Industria</t>
        </is>
      </c>
      <c r="D2097" s="25" t="inlineStr">
        <is>
          <t>Aplicaciones De Iot Para Operaciones</t>
        </is>
      </c>
      <c r="E2097" s="26" t="n">
        <v>12500</v>
      </c>
      <c r="F2097" s="27">
        <f>E2097/Config!$B$1</f>
        <v/>
      </c>
      <c r="G2097" s="24" t="inlineStr">
        <is>
          <t>Real</t>
        </is>
      </c>
    </row>
    <row r="2098" ht="15" customHeight="1" s="19">
      <c r="A2098" s="24" t="n">
        <v>7781</v>
      </c>
      <c r="B2098" s="25" t="inlineStr">
        <is>
          <t>Servicios de Diseño y Desarrollo de Aplicaciones IoT</t>
        </is>
      </c>
      <c r="C2098" s="24" t="inlineStr">
        <is>
          <t>Soluciones por Industria</t>
        </is>
      </c>
      <c r="D2098" s="25" t="inlineStr">
        <is>
          <t>Aplicaciones De Iot Para Operaciones</t>
        </is>
      </c>
      <c r="E2098" s="26" t="n">
        <v>1000</v>
      </c>
      <c r="F2098" s="27">
        <f>E2098/Config!$B$1</f>
        <v/>
      </c>
      <c r="G2098" s="28" t="inlineStr">
        <is>
          <t>Estimado (mediana de categoría)</t>
        </is>
      </c>
    </row>
    <row r="2099" ht="23.25" customHeight="1" s="19">
      <c r="A2099" s="24" t="n">
        <v>5941</v>
      </c>
      <c r="B2099" s="25" t="inlineStr">
        <is>
          <t>Servicios de Diseño y Desarrollo de Soluciones de Realidad Aumentada y Virtual</t>
        </is>
      </c>
      <c r="C2099" s="24" t="inlineStr">
        <is>
          <t>Soluciones por Industria</t>
        </is>
      </c>
      <c r="D2099" s="25" t="inlineStr">
        <is>
          <t>Realidad Aumentada Y Virtual</t>
        </is>
      </c>
      <c r="E2099" s="26" t="n">
        <v>6000</v>
      </c>
      <c r="F2099" s="27">
        <f>E2099/Config!$B$1</f>
        <v/>
      </c>
      <c r="G2099" s="24" t="inlineStr">
        <is>
          <t>Real</t>
        </is>
      </c>
    </row>
    <row r="2100" ht="23.25" customHeight="1" s="19">
      <c r="A2100" s="24" t="n">
        <v>7723</v>
      </c>
      <c r="B2100" s="25" t="inlineStr">
        <is>
          <t>Servicios de Diseño y Desarrollo de Soluciones de Realidad Aumentada y Virtual</t>
        </is>
      </c>
      <c r="C2100" s="24" t="inlineStr">
        <is>
          <t>Soluciones por Industria</t>
        </is>
      </c>
      <c r="D2100" s="25" t="inlineStr">
        <is>
          <t>Realidad Aumentada Y Virtual</t>
        </is>
      </c>
      <c r="E2100" s="26" t="n">
        <v>1000</v>
      </c>
      <c r="F2100" s="27">
        <f>E2100/Config!$B$1</f>
        <v/>
      </c>
      <c r="G2100" s="28" t="inlineStr">
        <is>
          <t>Estimado (mediana de categoría)</t>
        </is>
      </c>
    </row>
    <row r="2101" ht="23.25" customHeight="1" s="19">
      <c r="A2101" s="24" t="n">
        <v>6422</v>
      </c>
      <c r="B2101" s="25" t="inlineStr">
        <is>
          <t>Servicios de desarrollo de aplicaciones de Internet de las Cosas (IoT)</t>
        </is>
      </c>
      <c r="C2101" s="24" t="inlineStr">
        <is>
          <t>Soluciones por Industria</t>
        </is>
      </c>
      <c r="D2101" s="25" t="inlineStr">
        <is>
          <t>Servicios De Consultoría Y Desarrollo De Software Para Soluciones De Internet De Las Cosas.</t>
        </is>
      </c>
      <c r="E2101" s="26" t="n">
        <v>21600</v>
      </c>
      <c r="F2101" s="27">
        <f>E2101/Config!$B$1</f>
        <v/>
      </c>
      <c r="G2101" s="24" t="inlineStr">
        <is>
          <t>Real</t>
        </is>
      </c>
    </row>
    <row r="2102" ht="23.25" customHeight="1" s="19">
      <c r="A2102" s="24" t="n">
        <v>8133</v>
      </c>
      <c r="B2102" s="25" t="inlineStr">
        <is>
          <t>Servicios de desarrollo de aplicaciones de Internet de las Cosas (IoT)</t>
        </is>
      </c>
      <c r="C2102" s="24" t="inlineStr">
        <is>
          <t>Soluciones por Industria</t>
        </is>
      </c>
      <c r="D2102" s="25" t="inlineStr">
        <is>
          <t>Servicios De Consultoría Y Desarrollo De Software Para Soluciones De Internet De Las Cosas.</t>
        </is>
      </c>
      <c r="E2102" s="26" t="n">
        <v>1000</v>
      </c>
      <c r="F2102" s="27">
        <f>E2102/Config!$B$1</f>
        <v/>
      </c>
      <c r="G2102" s="28" t="inlineStr">
        <is>
          <t>Estimado (mediana de categoría)</t>
        </is>
      </c>
    </row>
    <row r="2103" ht="45.75" customHeight="1" s="19">
      <c r="A2103" s="24" t="n">
        <v>6446</v>
      </c>
      <c r="B2103" s="25" t="inlineStr">
        <is>
          <t>Servicios de desarrollo de aplicaciones de blockchain para la cadena de suministro</t>
        </is>
      </c>
      <c r="C2103" s="24" t="inlineStr">
        <is>
          <t>Soluciones por Industria</t>
        </is>
      </c>
      <c r="D2103" s="25" t="inlineStr">
        <is>
          <t>Servicios De Consultoría Y Construcción De Aplicaciones Blockchain Para La Automatización De Procesos, Gestión De Contratos Y Validación De Transacciones En La Cadena De Suministro.</t>
        </is>
      </c>
      <c r="E2103" s="26" t="n">
        <v>27000</v>
      </c>
      <c r="F2103" s="27">
        <f>E2103/Config!$B$1</f>
        <v/>
      </c>
      <c r="G2103" s="24" t="inlineStr">
        <is>
          <t>Real</t>
        </is>
      </c>
    </row>
    <row r="2104" ht="45.75" customHeight="1" s="19">
      <c r="A2104" s="24" t="n">
        <v>8157</v>
      </c>
      <c r="B2104" s="25" t="inlineStr">
        <is>
          <t>Servicios de desarrollo de aplicaciones de blockchain para la cadena de suministro</t>
        </is>
      </c>
      <c r="C2104" s="24" t="inlineStr">
        <is>
          <t>Soluciones por Industria</t>
        </is>
      </c>
      <c r="D2104" s="25" t="inlineStr">
        <is>
          <t>Servicios De Consultoría Y Construcción De Aplicaciones Blockchain Para La Automatización De Procesos, Gestión De Contratos Y Validación De Transacciones En La Cadena De Suministro.</t>
        </is>
      </c>
      <c r="E2104" s="26" t="n">
        <v>1000</v>
      </c>
      <c r="F2104" s="27">
        <f>E2104/Config!$B$1</f>
        <v/>
      </c>
      <c r="G2104" s="28" t="inlineStr">
        <is>
          <t>Estimado (mediana de categoría)</t>
        </is>
      </c>
    </row>
    <row r="2105" ht="34.5" customHeight="1" s="19">
      <c r="A2105" s="24" t="n">
        <v>8143</v>
      </c>
      <c r="B2105" s="25" t="inlineStr">
        <is>
          <t>Servicios de desarrollo de aplicaciones de inteligencia artificial generativa</t>
        </is>
      </c>
      <c r="C2105" s="24" t="inlineStr">
        <is>
          <t>Soluciones por Industria</t>
        </is>
      </c>
      <c r="D2105" s="25" t="inlineStr">
        <is>
          <t>Servicios De Consultoría Y Construcción De Soluciones De Ia Para La Generación De Contenido, Ideas Y Análisis Personalizados.</t>
        </is>
      </c>
      <c r="E2105" s="26" t="n">
        <v>1000</v>
      </c>
      <c r="F2105" s="27">
        <f>E2105/Config!$B$1</f>
        <v/>
      </c>
      <c r="G2105" s="28" t="inlineStr">
        <is>
          <t>Estimado (mediana de categoría)</t>
        </is>
      </c>
    </row>
    <row r="2106" ht="57" customHeight="1" s="19">
      <c r="A2106" s="24" t="n">
        <v>6450</v>
      </c>
      <c r="B2106" s="25" t="inlineStr">
        <is>
          <t>Servicios de desarrollo de aplicaciones de inteligencia artificial para el sector financiero</t>
        </is>
      </c>
      <c r="C2106" s="24" t="inlineStr">
        <is>
          <t>Soluciones por Industria</t>
        </is>
      </c>
      <c r="D2106" s="25" t="inlineStr">
        <is>
          <t>Servicios De Consultoría Y Construcción De Soluciones De Ia Para La Automatización De Decisiones De Inversión, Detección De Fraudes, Análisis De Riesgos Y Asesoramiento Financiero Personalizado.</t>
        </is>
      </c>
      <c r="E2106" s="26" t="n">
        <v>25200</v>
      </c>
      <c r="F2106" s="27">
        <f>E2106/Config!$B$1</f>
        <v/>
      </c>
      <c r="G2106" s="24" t="inlineStr">
        <is>
          <t>Real</t>
        </is>
      </c>
    </row>
    <row r="2107" ht="57" customHeight="1" s="19">
      <c r="A2107" s="24" t="n">
        <v>8161</v>
      </c>
      <c r="B2107" s="25" t="inlineStr">
        <is>
          <t>Servicios de desarrollo de aplicaciones de inteligencia artificial para el sector financiero</t>
        </is>
      </c>
      <c r="C2107" s="24" t="inlineStr">
        <is>
          <t>Soluciones por Industria</t>
        </is>
      </c>
      <c r="D2107" s="25" t="inlineStr">
        <is>
          <t>Servicios De Consultoría Y Construcción De Soluciones De Ia Para La Automatización De Decisiones De Inversión, Detección De Fraudes, Análisis De Riesgos Y Asesoramiento Financiero Personalizado.</t>
        </is>
      </c>
      <c r="E2107" s="26" t="n">
        <v>1000</v>
      </c>
      <c r="F2107" s="27">
        <f>E2107/Config!$B$1</f>
        <v/>
      </c>
      <c r="G2107" s="28" t="inlineStr">
        <is>
          <t>Estimado (mediana de categoría)</t>
        </is>
      </c>
    </row>
    <row r="2108" ht="45.75" customHeight="1" s="19">
      <c r="A2108" s="24" t="n">
        <v>6444</v>
      </c>
      <c r="B2108" s="25" t="inlineStr">
        <is>
          <t>Servicios de desarrollo de aplicaciones de inteligencia artificial para el sector retail</t>
        </is>
      </c>
      <c r="C2108" s="24" t="inlineStr">
        <is>
          <t>Soluciones por Industria</t>
        </is>
      </c>
      <c r="D2108" s="25" t="inlineStr">
        <is>
          <t>Servicios De Consultoría Y Construcción De Soluciones De Ia Para La Optimización De Inventarios, Predicción De Demanda, Personalización De Ofertas Y Atención Al Cliente.</t>
        </is>
      </c>
      <c r="E2108" s="26" t="n">
        <v>25200</v>
      </c>
      <c r="F2108" s="27">
        <f>E2108/Config!$B$1</f>
        <v/>
      </c>
      <c r="G2108" s="24" t="inlineStr">
        <is>
          <t>Real</t>
        </is>
      </c>
    </row>
    <row r="2109" ht="45.75" customHeight="1" s="19">
      <c r="A2109" s="24" t="n">
        <v>8155</v>
      </c>
      <c r="B2109" s="25" t="inlineStr">
        <is>
          <t>Servicios de desarrollo de aplicaciones de inteligencia artificial para el sector retail</t>
        </is>
      </c>
      <c r="C2109" s="24" t="inlineStr">
        <is>
          <t>Soluciones por Industria</t>
        </is>
      </c>
      <c r="D2109" s="25" t="inlineStr">
        <is>
          <t>Servicios De Consultoría Y Construcción De Soluciones De Ia Para La Optimización De Inventarios, Predicción De Demanda, Personalización De Ofertas Y Atención Al Cliente.</t>
        </is>
      </c>
      <c r="E2109" s="26" t="n">
        <v>1000</v>
      </c>
      <c r="F2109" s="27">
        <f>E2109/Config!$B$1</f>
        <v/>
      </c>
      <c r="G2109" s="28" t="inlineStr">
        <is>
          <t>Estimado (mediana de categoría)</t>
        </is>
      </c>
    </row>
    <row r="2110" ht="34.5" customHeight="1" s="19">
      <c r="A2110" s="24" t="n">
        <v>8107</v>
      </c>
      <c r="B2110" s="25" t="inlineStr">
        <is>
          <t>Servicios de desarrollo de aplicaciones de realidad aumentada y virtual</t>
        </is>
      </c>
      <c r="C2110" s="24" t="inlineStr">
        <is>
          <t>Soluciones por Industria</t>
        </is>
      </c>
      <c r="D2110" s="25" t="inlineStr">
        <is>
          <t>Servicios De Diseño Y Desarrollo De Soluciones De Realidad Aumentada Y Virtual Para Diversos Sectores.</t>
        </is>
      </c>
      <c r="E2110" s="26" t="n">
        <v>1000</v>
      </c>
      <c r="F2110" s="27">
        <f>E2110/Config!$B$1</f>
        <v/>
      </c>
      <c r="G2110" s="28" t="inlineStr">
        <is>
          <t>Estimado (mediana de categoría)</t>
        </is>
      </c>
    </row>
    <row r="2111" ht="34.5" customHeight="1" s="19">
      <c r="A2111" s="24" t="n">
        <v>8131</v>
      </c>
      <c r="B2111" s="25" t="inlineStr">
        <is>
          <t>Servicios de desarrollo de aplicaciones de realidad extendida (XR)</t>
        </is>
      </c>
      <c r="C2111" s="24" t="inlineStr">
        <is>
          <t>Soluciones por Industria</t>
        </is>
      </c>
      <c r="D2111" s="25" t="inlineStr">
        <is>
          <t>Servicios De Consultoría Y Construcción De Experiencias Interactivas En Entornos Virtuales Y Aumentados.</t>
        </is>
      </c>
      <c r="E2111" s="26" t="n">
        <v>1000</v>
      </c>
      <c r="F2111" s="27">
        <f>E2111/Config!$B$1</f>
        <v/>
      </c>
      <c r="G2111" s="28" t="inlineStr">
        <is>
          <t>Estimado (mediana de categoría)</t>
        </is>
      </c>
    </row>
    <row r="2112" ht="34.5" customHeight="1" s="19">
      <c r="A2112" s="24" t="n">
        <v>8141</v>
      </c>
      <c r="B2112" s="25" t="inlineStr">
        <is>
          <t>Servicios de desarrollo de aplicaciones de realidad extendida para el metaverso</t>
        </is>
      </c>
      <c r="C2112" s="24" t="inlineStr">
        <is>
          <t>Soluciones por Industria</t>
        </is>
      </c>
      <c r="D2112" s="25" t="inlineStr">
        <is>
          <t>Servicios De Consultoría Y Construcción De Soluciones De Realidad Aumentada, Virtual Y Mixta Para Entornos Virtuales Compartidos.</t>
        </is>
      </c>
      <c r="E2112" s="26" t="n">
        <v>1000</v>
      </c>
      <c r="F2112" s="27">
        <f>E2112/Config!$B$1</f>
        <v/>
      </c>
      <c r="G2112" s="28" t="inlineStr">
        <is>
          <t>Estimado (mediana de categoría)</t>
        </is>
      </c>
    </row>
    <row r="2113" ht="57" customHeight="1" s="19">
      <c r="A2113" s="24" t="n">
        <v>6452</v>
      </c>
      <c r="B2113" s="25" t="inlineStr">
        <is>
          <t>Servicios de desarrollo de aplicaciones de realidad extendida para el sector de la construcción</t>
        </is>
      </c>
      <c r="C2113" s="24" t="inlineStr">
        <is>
          <t>Soluciones por Industria</t>
        </is>
      </c>
      <c r="D2113" s="25" t="inlineStr">
        <is>
          <t>Servicios De Consultoría Y Construcción De Soluciones De Realidad Extendida Para La Visualización 3D De Proyectos, La Colaboración Remota Y La Capacitación De Trabajadores En Entornos De Construcción.</t>
        </is>
      </c>
      <c r="E2113" s="26" t="n">
        <v>27000</v>
      </c>
      <c r="F2113" s="27">
        <f>E2113/Config!$B$1</f>
        <v/>
      </c>
      <c r="G2113" s="24" t="inlineStr">
        <is>
          <t>Real</t>
        </is>
      </c>
    </row>
    <row r="2114" ht="57" customHeight="1" s="19">
      <c r="A2114" s="24" t="n">
        <v>8163</v>
      </c>
      <c r="B2114" s="25" t="inlineStr">
        <is>
          <t>Servicios de desarrollo de aplicaciones de realidad extendida para el sector de la construcción</t>
        </is>
      </c>
      <c r="C2114" s="24" t="inlineStr">
        <is>
          <t>Soluciones por Industria</t>
        </is>
      </c>
      <c r="D2114" s="25" t="inlineStr">
        <is>
          <t>Servicios De Consultoría Y Construcción De Soluciones De Realidad Extendida Para La Visualización 3D De Proyectos, La Colaboración Remota Y La Capacitación De Trabajadores En Entornos De Construcción.</t>
        </is>
      </c>
      <c r="E2114" s="26" t="n">
        <v>1000</v>
      </c>
      <c r="F2114" s="27">
        <f>E2114/Config!$B$1</f>
        <v/>
      </c>
      <c r="G2114" s="28" t="inlineStr">
        <is>
          <t>Estimado (mediana de categoría)</t>
        </is>
      </c>
    </row>
    <row r="2115" ht="45.75" customHeight="1" s="19">
      <c r="A2115" s="24" t="n">
        <v>6438</v>
      </c>
      <c r="B2115" s="25" t="inlineStr">
        <is>
          <t>Servicios de desarrollo de aplicaciones de realidad extendida para el sector industrial</t>
        </is>
      </c>
      <c r="C2115" s="24" t="inlineStr">
        <is>
          <t>Soluciones por Industria</t>
        </is>
      </c>
      <c r="D2115" s="25" t="inlineStr">
        <is>
          <t>Servicios De Consultoría Y Construcción De Soluciones De Realidad Extendida Para Mejorar La Eficiencia, Seguridad Y Mantenimiento En Operaciones Industriales.</t>
        </is>
      </c>
      <c r="E2115" s="26" t="n">
        <v>31500</v>
      </c>
      <c r="F2115" s="27">
        <f>E2115/Config!$B$1</f>
        <v/>
      </c>
      <c r="G2115" s="24" t="inlineStr">
        <is>
          <t>Real</t>
        </is>
      </c>
    </row>
    <row r="2116" ht="45.75" customHeight="1" s="19">
      <c r="A2116" s="24" t="n">
        <v>8149</v>
      </c>
      <c r="B2116" s="25" t="inlineStr">
        <is>
          <t>Servicios de desarrollo de aplicaciones de realidad extendida para el sector industrial</t>
        </is>
      </c>
      <c r="C2116" s="24" t="inlineStr">
        <is>
          <t>Soluciones por Industria</t>
        </is>
      </c>
      <c r="D2116" s="25" t="inlineStr">
        <is>
          <t>Servicios De Consultoría Y Construcción De Soluciones De Realidad Extendida Para Mejorar La Eficiencia, Seguridad Y Mantenimiento En Operaciones Industriales.</t>
        </is>
      </c>
      <c r="E2116" s="26" t="n">
        <v>1000</v>
      </c>
      <c r="F2116" s="27">
        <f>E2116/Config!$B$1</f>
        <v/>
      </c>
      <c r="G2116" s="28" t="inlineStr">
        <is>
          <t>Estimado (mediana de categoría)</t>
        </is>
      </c>
    </row>
    <row r="2117" ht="23.25" customHeight="1" s="19">
      <c r="A2117" s="24" t="n">
        <v>8106</v>
      </c>
      <c r="B2117" s="25" t="inlineStr">
        <is>
          <t>Servicios de desarrollo de blockchain y smart contracts</t>
        </is>
      </c>
      <c r="C2117" s="24" t="inlineStr">
        <is>
          <t>Soluciones por Industria</t>
        </is>
      </c>
      <c r="D2117" s="25" t="inlineStr">
        <is>
          <t>Servicios De Consultoría Y Desarrollo De Proyectos Blockchain Y Smart Contracts.</t>
        </is>
      </c>
      <c r="E2117" s="26" t="n">
        <v>1000</v>
      </c>
      <c r="F2117" s="27">
        <f>E2117/Config!$B$1</f>
        <v/>
      </c>
      <c r="G2117" s="28" t="inlineStr">
        <is>
          <t>Estimado (mediana de categoría)</t>
        </is>
      </c>
    </row>
    <row r="2118" ht="23.25" customHeight="1" s="19">
      <c r="A2118" s="24" t="n">
        <v>8125</v>
      </c>
      <c r="B2118" s="25" t="inlineStr">
        <is>
          <t>Servicios de desarrollo de software blockchain y smart contracts</t>
        </is>
      </c>
      <c r="C2118" s="24" t="inlineStr">
        <is>
          <t>Soluciones por Industria</t>
        </is>
      </c>
      <c r="D2118" s="25" t="inlineStr">
        <is>
          <t>Servicios De Diseño, Desarrollo E Implementación De Sistemas Y Aplicaciones Blockchain.</t>
        </is>
      </c>
      <c r="E2118" s="26" t="n">
        <v>1000</v>
      </c>
      <c r="F2118" s="27">
        <f>E2118/Config!$B$1</f>
        <v/>
      </c>
      <c r="G2118" s="28" t="inlineStr">
        <is>
          <t>Estimado (mediana de categoría)</t>
        </is>
      </c>
    </row>
    <row r="2119" ht="23.25" customHeight="1" s="19">
      <c r="A2119" s="24" t="n">
        <v>6394</v>
      </c>
      <c r="B2119" s="25" t="inlineStr">
        <is>
          <t>Servicios de desarrollo de soluciones de IoT</t>
        </is>
      </c>
      <c r="C2119" s="24" t="inlineStr">
        <is>
          <t>Soluciones por Industria</t>
        </is>
      </c>
      <c r="D2119" s="25" t="inlineStr">
        <is>
          <t>Servicios De Creación De Soluciones De Internet De Las Cosas (Iot) Para Diferentes Sectores.</t>
        </is>
      </c>
      <c r="E2119" s="26" t="n">
        <v>18000</v>
      </c>
      <c r="F2119" s="27">
        <f>E2119/Config!$B$1</f>
        <v/>
      </c>
      <c r="G2119" s="24" t="inlineStr">
        <is>
          <t>Real</t>
        </is>
      </c>
    </row>
    <row r="2120" ht="23.25" customHeight="1" s="19">
      <c r="A2120" s="24" t="n">
        <v>8105</v>
      </c>
      <c r="B2120" s="25" t="inlineStr">
        <is>
          <t>Servicios de desarrollo de soluciones de IoT</t>
        </is>
      </c>
      <c r="C2120" s="24" t="inlineStr">
        <is>
          <t>Soluciones por Industria</t>
        </is>
      </c>
      <c r="D2120" s="25" t="inlineStr">
        <is>
          <t>Servicios De Creación De Soluciones De Internet De Las Cosas (Iot) Para Diferentes Sectores.</t>
        </is>
      </c>
      <c r="E2120" s="26" t="n">
        <v>1000</v>
      </c>
      <c r="F2120" s="27">
        <f>E2120/Config!$B$1</f>
        <v/>
      </c>
      <c r="G2120" s="28" t="inlineStr">
        <is>
          <t>Estimado (mediana de categoría)</t>
        </is>
      </c>
    </row>
    <row r="2121" ht="23.25" customHeight="1" s="19">
      <c r="A2121" s="24" t="n">
        <v>8114</v>
      </c>
      <c r="B2121" s="25" t="inlineStr">
        <is>
          <t>Servicios de desarrollo de soluciones de inteligencia artificial y machine learning</t>
        </is>
      </c>
      <c r="C2121" s="24" t="inlineStr">
        <is>
          <t>Soluciones por Industria</t>
        </is>
      </c>
      <c r="D2121" s="25" t="inlineStr">
        <is>
          <t>Servicios De Creación De Soluciones Avanzadas De Ia Y Machine Learning Para Diversas Industrias.</t>
        </is>
      </c>
      <c r="E2121" s="26" t="n">
        <v>1000</v>
      </c>
      <c r="F2121" s="27">
        <f>E2121/Config!$B$1</f>
        <v/>
      </c>
      <c r="G2121" s="28" t="inlineStr">
        <is>
          <t>Estimado (mediana de categoría)</t>
        </is>
      </c>
    </row>
    <row r="2122" ht="23.25" customHeight="1" s="19">
      <c r="A2122" s="24" t="n">
        <v>8135</v>
      </c>
      <c r="B2122" s="25" t="inlineStr">
        <is>
          <t>Servicios de desarrollo e implementación de soluciones de blockchain</t>
        </is>
      </c>
      <c r="C2122" s="24" t="inlineStr">
        <is>
          <t>Soluciones por Industria</t>
        </is>
      </c>
      <c r="D2122" s="25" t="inlineStr">
        <is>
          <t>Servicios De Consultoría Y Desarrollo De Soluciones Descentralizadas Y Seguras Utilizando Blockchain.</t>
        </is>
      </c>
      <c r="E2122" s="26" t="n">
        <v>1000</v>
      </c>
      <c r="F2122" s="27">
        <f>E2122/Config!$B$1</f>
        <v/>
      </c>
      <c r="G2122" s="28" t="inlineStr">
        <is>
          <t>Estimado (mediana de categoría)</t>
        </is>
      </c>
    </row>
    <row r="2123" ht="34.5" customHeight="1" s="19">
      <c r="A2123" s="24" t="n">
        <v>5996</v>
      </c>
      <c r="B2123" s="25" t="inlineStr">
        <is>
          <t>Servicios de diseño y desarrollo de aplicaciones de Internet de las Cosas (IoT) para optimizar operaciones y procesos</t>
        </is>
      </c>
      <c r="C2123" s="24" t="inlineStr">
        <is>
          <t>Soluciones por Industria</t>
        </is>
      </c>
      <c r="D2123" s="25" t="inlineStr">
        <is>
          <t>Desarrollo De Software</t>
        </is>
      </c>
      <c r="E2123" s="26" t="n">
        <v>18000</v>
      </c>
      <c r="F2123" s="27">
        <f>E2123/Config!$B$1</f>
        <v/>
      </c>
      <c r="G2123" s="24" t="inlineStr">
        <is>
          <t>Real</t>
        </is>
      </c>
    </row>
    <row r="2124" ht="34.5" customHeight="1" s="19">
      <c r="A2124" s="24" t="n">
        <v>7759</v>
      </c>
      <c r="B2124" s="25" t="inlineStr">
        <is>
          <t>Servicios de diseño y desarrollo de aplicaciones de Internet de las Cosas (IoT) para optimizar operaciones y procesos</t>
        </is>
      </c>
      <c r="C2124" s="24" t="inlineStr">
        <is>
          <t>Soluciones por Industria</t>
        </is>
      </c>
      <c r="D2124" s="25" t="inlineStr">
        <is>
          <t>Desarrollo De Software</t>
        </is>
      </c>
      <c r="E2124" s="26" t="n">
        <v>1000</v>
      </c>
      <c r="F2124" s="27">
        <f>E2124/Config!$B$1</f>
        <v/>
      </c>
      <c r="G2124" s="28" t="inlineStr">
        <is>
          <t>Estimado (mediana de categoría)</t>
        </is>
      </c>
    </row>
    <row r="2125" ht="57" customHeight="1" s="19">
      <c r="A2125" s="24" t="n">
        <v>6451</v>
      </c>
      <c r="B2125" s="25" t="inlineStr">
        <is>
          <t>Servicios de implementación de soluciones de analítica de big data para el sector manufacturero</t>
        </is>
      </c>
      <c r="C2125" s="24" t="inlineStr">
        <is>
          <t>Soluciones por Industria</t>
        </is>
      </c>
      <c r="D2125" s="25" t="inlineStr">
        <is>
          <t>Servicios De Consultoría Y Despliegue De Soluciones De Analítica Avanzada De Big Data Para Optimizar La Eficiencia Operacional, La Calidad Y El Mantenimiento Predictivo En Procesos De Manufactura.</t>
        </is>
      </c>
      <c r="E2125" s="26" t="n">
        <v>31500</v>
      </c>
      <c r="F2125" s="27">
        <f>E2125/Config!$B$1</f>
        <v/>
      </c>
      <c r="G2125" s="24" t="inlineStr">
        <is>
          <t>Real</t>
        </is>
      </c>
    </row>
    <row r="2126" ht="57" customHeight="1" s="19">
      <c r="A2126" s="24" t="n">
        <v>8162</v>
      </c>
      <c r="B2126" s="25" t="inlineStr">
        <is>
          <t>Servicios de implementación de soluciones de analítica de big data para el sector manufacturero</t>
        </is>
      </c>
      <c r="C2126" s="24" t="inlineStr">
        <is>
          <t>Soluciones por Industria</t>
        </is>
      </c>
      <c r="D2126" s="25" t="inlineStr">
        <is>
          <t>Servicios De Consultoría Y Despliegue De Soluciones De Analítica Avanzada De Big Data Para Optimizar La Eficiencia Operacional, La Calidad Y El Mantenimiento Predictivo En Procesos De Manufactura.</t>
        </is>
      </c>
      <c r="E2126" s="26" t="n">
        <v>1000</v>
      </c>
      <c r="F2126" s="27">
        <f>E2126/Config!$B$1</f>
        <v/>
      </c>
      <c r="G2126" s="28" t="inlineStr">
        <is>
          <t>Estimado (mediana de categoría)</t>
        </is>
      </c>
    </row>
    <row r="2127" ht="34.5" customHeight="1" s="19">
      <c r="A2127" s="24" t="n">
        <v>8145</v>
      </c>
      <c r="B2127" s="25" t="inlineStr">
        <is>
          <t>Servicios de implementación de soluciones de inteligencia artificial y aprendizaje automático</t>
        </is>
      </c>
      <c r="C2127" s="24" t="inlineStr">
        <is>
          <t>Soluciones por Industria</t>
        </is>
      </c>
      <c r="D2127" s="25" t="inlineStr">
        <is>
          <t>Servicios De Consultoría Y Despliegue De Soluciones De Ia Para La Automatización De Procesos, Predicción De Tendencias Y Toma De Decisiones.</t>
        </is>
      </c>
      <c r="E2127" s="26" t="n">
        <v>1000</v>
      </c>
      <c r="F2127" s="27">
        <f>E2127/Config!$B$1</f>
        <v/>
      </c>
      <c r="G2127" s="28" t="inlineStr">
        <is>
          <t>Estimado (mediana de categoría)</t>
        </is>
      </c>
    </row>
    <row r="2128" ht="34.5" customHeight="1" s="19">
      <c r="A2128" s="24" t="n">
        <v>8127</v>
      </c>
      <c r="B2128" s="25" t="inlineStr">
        <is>
          <t>Servicios de implementación de soluciones de inteligencia artificial y machine learning</t>
        </is>
      </c>
      <c r="C2128" s="24" t="inlineStr">
        <is>
          <t>Soluciones por Industria</t>
        </is>
      </c>
      <c r="D2128" s="25" t="inlineStr">
        <is>
          <t>Servicios De Consultoría Y Despliegue De Soluciones De Inteligencia Artificial, Aprendizaje De Máquina Y Procesamiento De Datos.</t>
        </is>
      </c>
      <c r="E2128" s="26" t="n">
        <v>1000</v>
      </c>
      <c r="F2128" s="27">
        <f>E2128/Config!$B$1</f>
        <v/>
      </c>
      <c r="G2128" s="28" t="inlineStr">
        <is>
          <t>Estimado (mediana de categoría)</t>
        </is>
      </c>
    </row>
    <row r="2129" ht="34.5" customHeight="1" s="19">
      <c r="A2129" s="24" t="n">
        <v>6413</v>
      </c>
      <c r="B2129" s="25" t="inlineStr">
        <is>
          <t>Servicios de implementación de soluciones de internet de las cosas (IoT)</t>
        </is>
      </c>
      <c r="C2129" s="24" t="inlineStr">
        <is>
          <t>Soluciones por Industria</t>
        </is>
      </c>
      <c r="D2129" s="25" t="inlineStr">
        <is>
          <t>Servicios De Consultoría Y Desarrollo De Aplicaciones Y Sistemas Basados En Tecnologías De Iot.</t>
        </is>
      </c>
      <c r="E2129" s="26" t="n">
        <v>19800</v>
      </c>
      <c r="F2129" s="27">
        <f>E2129/Config!$B$1</f>
        <v/>
      </c>
      <c r="G2129" s="24" t="inlineStr">
        <is>
          <t>Real</t>
        </is>
      </c>
    </row>
    <row r="2130" ht="34.5" customHeight="1" s="19">
      <c r="A2130" s="24" t="n">
        <v>8124</v>
      </c>
      <c r="B2130" s="25" t="inlineStr">
        <is>
          <t>Servicios de implementación de soluciones de internet de las cosas (IoT)</t>
        </is>
      </c>
      <c r="C2130" s="24" t="inlineStr">
        <is>
          <t>Soluciones por Industria</t>
        </is>
      </c>
      <c r="D2130" s="25" t="inlineStr">
        <is>
          <t>Servicios De Consultoría Y Desarrollo De Aplicaciones Y Sistemas Basados En Tecnologías De Iot.</t>
        </is>
      </c>
      <c r="E2130" s="26" t="n">
        <v>1000</v>
      </c>
      <c r="F2130" s="27">
        <f>E2130/Config!$B$1</f>
        <v/>
      </c>
      <c r="G2130" s="28" t="inlineStr">
        <is>
          <t>Estimado (mediana de categoría)</t>
        </is>
      </c>
    </row>
    <row r="2131" ht="34.5" customHeight="1" s="19">
      <c r="A2131" s="24" t="n">
        <v>8128</v>
      </c>
      <c r="B2131" s="25" t="inlineStr">
        <is>
          <t>Servicios de implementación de soluciones de realidad aumentada y realidad virtual</t>
        </is>
      </c>
      <c r="C2131" s="24" t="inlineStr">
        <is>
          <t>Soluciones por Industria</t>
        </is>
      </c>
      <c r="D2131" s="25" t="inlineStr">
        <is>
          <t>Servicios De Consultoría Y Despliegue De Soluciones De Realidad Extendida Para Diversos Sectores Y Casos De Uso.</t>
        </is>
      </c>
      <c r="E2131" s="26" t="n">
        <v>1000</v>
      </c>
      <c r="F2131" s="27">
        <f>E2131/Config!$B$1</f>
        <v/>
      </c>
      <c r="G2131" s="28" t="inlineStr">
        <is>
          <t>Estimado (mediana de categoría)</t>
        </is>
      </c>
    </row>
    <row r="2132" ht="45.75" customHeight="1" s="19">
      <c r="A2132" s="24" t="n">
        <v>6445</v>
      </c>
      <c r="B2132" s="25" t="inlineStr">
        <is>
          <t>Servicios de implementación de soluciones de realidad extendida para el sector de la salud</t>
        </is>
      </c>
      <c r="C2132" s="24" t="inlineStr">
        <is>
          <t>Soluciones por Industria</t>
        </is>
      </c>
      <c r="D2132" s="25" t="inlineStr">
        <is>
          <t>Servicios De Consultoría Y Despliegue De Tecnologías De Realidad Extendida Para La Visualización De Datos Médicos, Simulación De Intervenciones Y Terapias Inmersivas.</t>
        </is>
      </c>
      <c r="E2132" s="26" t="n">
        <v>31500</v>
      </c>
      <c r="F2132" s="27">
        <f>E2132/Config!$B$1</f>
        <v/>
      </c>
      <c r="G2132" s="24" t="inlineStr">
        <is>
          <t>Real</t>
        </is>
      </c>
    </row>
    <row r="2133" ht="45.75" customHeight="1" s="19">
      <c r="A2133" s="24" t="n">
        <v>8156</v>
      </c>
      <c r="B2133" s="25" t="inlineStr">
        <is>
          <t>Servicios de implementación de soluciones de realidad extendida para el sector de la salud</t>
        </is>
      </c>
      <c r="C2133" s="24" t="inlineStr">
        <is>
          <t>Soluciones por Industria</t>
        </is>
      </c>
      <c r="D2133" s="25" t="inlineStr">
        <is>
          <t>Servicios De Consultoría Y Despliegue De Tecnologías De Realidad Extendida Para La Visualización De Datos Médicos, Simulación De Intervenciones Y Terapias Inmersivas.</t>
        </is>
      </c>
      <c r="E2133" s="26" t="n">
        <v>1000</v>
      </c>
      <c r="F2133" s="27">
        <f>E2133/Config!$B$1</f>
        <v/>
      </c>
      <c r="G2133" s="28" t="inlineStr">
        <is>
          <t>Estimado (mediana de categoría)</t>
        </is>
      </c>
    </row>
    <row r="2134" ht="15" customHeight="1" s="19">
      <c r="A2134" s="24" t="n">
        <v>6975</v>
      </c>
      <c r="B2134" s="25" t="inlineStr">
        <is>
          <t>Soluciones Para Servicios</t>
        </is>
      </c>
      <c r="C2134" s="24" t="inlineStr">
        <is>
          <t>Soluciones por Industria</t>
        </is>
      </c>
      <c r="D2134" s="25" t="inlineStr">
        <is>
          <t>Soluciones De Facturación Para Servicios.</t>
        </is>
      </c>
      <c r="E2134" s="26" t="n">
        <v>1200</v>
      </c>
      <c r="F2134" s="27">
        <f>E2134/Config!$B$1</f>
        <v/>
      </c>
      <c r="G2134" s="24" t="inlineStr">
        <is>
          <t>Real</t>
        </is>
      </c>
    </row>
    <row r="2135" ht="15" customHeight="1" s="19">
      <c r="A2135" s="24" t="n">
        <v>6300</v>
      </c>
      <c r="B2135" s="25" t="inlineStr">
        <is>
          <t>Soluciones de IA para la Industria de la Salud</t>
        </is>
      </c>
      <c r="C2135" s="24" t="inlineStr">
        <is>
          <t>Soluciones por Industria</t>
        </is>
      </c>
      <c r="D2135" s="25" t="n"/>
      <c r="E2135" s="26" t="n">
        <v>1000</v>
      </c>
      <c r="F2135" s="27">
        <f>E2135/Config!$B$1</f>
        <v/>
      </c>
      <c r="G2135" s="28" t="inlineStr">
        <is>
          <t>Estimado (mediana de categoría)</t>
        </is>
      </c>
    </row>
    <row r="2136" ht="15" customHeight="1" s="19">
      <c r="A2136" s="24" t="n">
        <v>6299</v>
      </c>
      <c r="B2136" s="25" t="inlineStr">
        <is>
          <t>Soluciones de IA para la Industria del Retail</t>
        </is>
      </c>
      <c r="C2136" s="24" t="inlineStr">
        <is>
          <t>Soluciones por Industria</t>
        </is>
      </c>
      <c r="D2136" s="25" t="inlineStr">
        <is>
          <t>Soluciones De Ia Para El Sector Retail</t>
        </is>
      </c>
      <c r="E2136" s="26" t="n">
        <v>249</v>
      </c>
      <c r="F2136" s="27">
        <f>E2136/Config!$B$1</f>
        <v/>
      </c>
      <c r="G2136" s="24" t="inlineStr">
        <is>
          <t>Real</t>
        </is>
      </c>
    </row>
    <row r="2137" ht="15" customHeight="1" s="19">
      <c r="A2137" s="24" t="n">
        <v>8012</v>
      </c>
      <c r="B2137" s="25" t="inlineStr">
        <is>
          <t>Soluciones de IA para la Industria del Retail</t>
        </is>
      </c>
      <c r="C2137" s="24" t="inlineStr">
        <is>
          <t>Soluciones por Industria</t>
        </is>
      </c>
      <c r="D2137" s="25" t="inlineStr">
        <is>
          <t>Soluciones De Ia Para El Sector Retail</t>
        </is>
      </c>
      <c r="E2137" s="26" t="n">
        <v>1000</v>
      </c>
      <c r="F2137" s="27">
        <f>E2137/Config!$B$1</f>
        <v/>
      </c>
      <c r="G2137" s="28" t="inlineStr">
        <is>
          <t>Estimado (mediana de categoría)</t>
        </is>
      </c>
    </row>
    <row r="2138" ht="57" customHeight="1" s="19">
      <c r="A2138" s="24" t="n">
        <v>8013</v>
      </c>
      <c r="B2138" s="25" t="inlineStr">
        <is>
          <t>Soluciones de IA para la Salud: Diagnóstico Preciso, Tratamiento Personalizado y Atención Mejorada</t>
        </is>
      </c>
      <c r="C2138" s="24" t="inlineStr">
        <is>
          <t>Soluciones por Industria</t>
        </is>
      </c>
      <c r="D2138" s="25" t="inlineStr">
        <is>
          <t>Soluciones de IA para la industria de la salud: Diagnóstico mejorado, tratamiento personalizado, monitoreo remoto y automatización de tareas para una mejor atención al paciente, reducción de costos y acceso mejorado.</t>
        </is>
      </c>
      <c r="E2138" s="26" t="n">
        <v>1000</v>
      </c>
      <c r="F2138" s="27">
        <f>E2138/Config!$B$1</f>
        <v/>
      </c>
      <c r="G2138" s="28" t="inlineStr">
        <is>
          <t>Estimado (mediana de categoría)</t>
        </is>
      </c>
    </row>
    <row r="2139" ht="15" customHeight="1" s="19">
      <c r="A2139" s="24" t="n">
        <v>6957</v>
      </c>
      <c r="B2139" s="25" t="inlineStr">
        <is>
          <t>Soluciones por Industria</t>
        </is>
      </c>
      <c r="C2139" s="24" t="inlineStr">
        <is>
          <t>Soluciones por Industria</t>
        </is>
      </c>
      <c r="D2139" s="25" t="n"/>
      <c r="E2139" s="26" t="n">
        <v>1000</v>
      </c>
      <c r="F2139" s="27">
        <f>E2139/Config!$B$1</f>
        <v/>
      </c>
      <c r="G2139" s="28" t="inlineStr">
        <is>
          <t>Estimado (mediana de categoría)</t>
        </is>
      </c>
    </row>
    <row r="2140" ht="15" customHeight="1" s="19">
      <c r="A2140" s="24" t="n">
        <v>6970</v>
      </c>
      <c r="B2140" s="25" t="inlineStr">
        <is>
          <t>Solución para Mayoristas (B2B)</t>
        </is>
      </c>
      <c r="C2140" s="24" t="inlineStr">
        <is>
          <t>Soluciones por Industria</t>
        </is>
      </c>
      <c r="D2140" s="25" t="inlineStr">
        <is>
          <t>Solución B2B Para Mayoristas.</t>
        </is>
      </c>
      <c r="E2140" s="26" t="n">
        <v>4000</v>
      </c>
      <c r="F2140" s="27">
        <f>E2140/Config!$B$1</f>
        <v/>
      </c>
      <c r="G2140" s="24" t="inlineStr">
        <is>
          <t>Real</t>
        </is>
      </c>
    </row>
    <row r="2141" ht="15" customHeight="1" s="19">
      <c r="A2141" s="24" t="n">
        <v>6969</v>
      </c>
      <c r="B2141" s="25" t="inlineStr">
        <is>
          <t>Solución para Minoristas (B2C)</t>
        </is>
      </c>
      <c r="C2141" s="24" t="inlineStr">
        <is>
          <t>Soluciones por Industria</t>
        </is>
      </c>
      <c r="D2141" s="25" t="inlineStr">
        <is>
          <t>Solución B2C Para Minoristas.</t>
        </is>
      </c>
      <c r="E2141" s="26" t="n">
        <v>3500</v>
      </c>
      <c r="F2141" s="27">
        <f>E2141/Config!$B$1</f>
        <v/>
      </c>
      <c r="G2141" s="24" t="inlineStr">
        <is>
          <t>Real</t>
        </is>
      </c>
    </row>
    <row r="2142" ht="15" customHeight="1" s="19">
      <c r="A2142" s="24" t="n">
        <v>6964</v>
      </c>
      <c r="B2142" s="25" t="inlineStr">
        <is>
          <t>Soporte Operativo Anual para Minoristas</t>
        </is>
      </c>
      <c r="C2142" s="24" t="inlineStr">
        <is>
          <t>Soluciones por Industria</t>
        </is>
      </c>
      <c r="D2142" s="25" t="inlineStr">
        <is>
          <t>Soporte Operativo Anual Para Minoristas</t>
        </is>
      </c>
      <c r="E2142" s="26" t="n">
        <v>1300</v>
      </c>
      <c r="F2142" s="27">
        <f>E2142/Config!$B$1</f>
        <v/>
      </c>
      <c r="G2142" s="24" t="inlineStr">
        <is>
          <t>Real</t>
        </is>
      </c>
    </row>
    <row r="2143" ht="23.25" customHeight="1" s="19">
      <c r="A2143" s="24" t="n">
        <v>6635</v>
      </c>
      <c r="B2143" s="25" t="inlineStr">
        <is>
          <t>Tapizado de Muebles</t>
        </is>
      </c>
      <c r="C2143" s="24" t="inlineStr">
        <is>
          <t>Soluciones por Industria</t>
        </is>
      </c>
      <c r="D2143" s="25" t="inlineStr">
        <is>
          <t>Actualización Del Tapizado Para Renovar La Apariencia De Muebles.</t>
        </is>
      </c>
      <c r="E2143" s="26" t="n">
        <v>350</v>
      </c>
      <c r="F2143" s="27">
        <f>E2143/Config!$B$1</f>
        <v/>
      </c>
      <c r="G2143" s="24" t="inlineStr">
        <is>
          <t>Real</t>
        </is>
      </c>
    </row>
    <row r="2144" ht="15" customHeight="1" s="19">
      <c r="A2144" s="24" t="n">
        <v>6956</v>
      </c>
      <c r="B2144" s="25" t="inlineStr">
        <is>
          <t>Technology Advanced for Agroindustry</t>
        </is>
      </c>
      <c r="C2144" s="24" t="inlineStr">
        <is>
          <t>Soluciones por Industria</t>
        </is>
      </c>
      <c r="D2144" s="25" t="inlineStr">
        <is>
          <t>Tecnología Agroindustria</t>
        </is>
      </c>
      <c r="E2144" s="26" t="n">
        <v>2900</v>
      </c>
      <c r="F2144" s="27">
        <f>E2144/Config!$B$1</f>
        <v/>
      </c>
      <c r="G2144" s="24" t="inlineStr">
        <is>
          <t>Real</t>
        </is>
      </c>
    </row>
    <row r="2145" ht="23.25" customHeight="1" s="19">
      <c r="A2145" s="24" t="n">
        <v>7502</v>
      </c>
      <c r="B2145" s="25" t="inlineStr">
        <is>
          <t>¡Increíble oferta! $1.500: El mejor precio para un producto de calidad excepcional</t>
        </is>
      </c>
      <c r="C2145" s="24" t="inlineStr">
        <is>
          <t>Soluciones por Industria</t>
        </is>
      </c>
      <c r="D2145" s="25" t="inlineStr">
        <is>
          <t>1.500 pesos: una inversión en tu futuro</t>
        </is>
      </c>
      <c r="E2145" s="26" t="n">
        <v>10000</v>
      </c>
      <c r="F2145" s="27">
        <f>E2145/Config!$B$1</f>
        <v/>
      </c>
      <c r="G2145" s="24" t="inlineStr">
        <is>
          <t>Real</t>
        </is>
      </c>
    </row>
    <row r="2146" ht="23.25" customHeight="1" s="19">
      <c r="A2146" s="24" t="n">
        <v>7472</v>
      </c>
      <c r="B2146" s="25" t="inlineStr">
        <is>
          <t>¡Llévate el mejor sonido a un precio increíble! Parlante Bluetooth por solo $300</t>
        </is>
      </c>
      <c r="C2146" s="24" t="inlineStr">
        <is>
          <t>Soluciones por Industria</t>
        </is>
      </c>
      <c r="D2146" s="25" t="inlineStr">
        <is>
          <t>¡300 pesos, una inversión que vale la pena!</t>
        </is>
      </c>
      <c r="E2146" s="26" t="n">
        <v>2500</v>
      </c>
      <c r="F2146" s="27">
        <f>E2146/Config!$B$1</f>
        <v/>
      </c>
      <c r="G2146" s="24" t="inlineStr">
        <is>
          <t>Real</t>
        </is>
      </c>
    </row>
    <row r="2147" ht="15" customHeight="1" s="19">
      <c r="A2147" s="24" t="n">
        <v>7505</v>
      </c>
      <c r="B2147" s="25" t="inlineStr">
        <is>
          <t>¡Llévate el tuyo por solo $100!</t>
        </is>
      </c>
      <c r="C2147" s="24" t="inlineStr">
        <is>
          <t>Soluciones por Industria</t>
        </is>
      </c>
      <c r="D2147" s="25" t="inlineStr">
        <is>
          <t>100 pesos: un billete con historia y valor</t>
        </is>
      </c>
      <c r="E2147" s="26" t="n">
        <v>40</v>
      </c>
      <c r="F2147" s="27">
        <f>E2147/Config!$B$1</f>
        <v/>
      </c>
      <c r="G2147" s="24" t="inlineStr">
        <is>
          <t>Real</t>
        </is>
      </c>
    </row>
    <row r="2148" ht="23.25" customHeight="1" s="19">
      <c r="A2148" s="24" t="n">
        <v>7503</v>
      </c>
      <c r="B2148" s="25" t="inlineStr">
        <is>
          <t>¡Llévate el tuyo por solo $500!</t>
        </is>
      </c>
      <c r="C2148" s="24" t="inlineStr">
        <is>
          <t>Soluciones por Industria</t>
        </is>
      </c>
      <c r="D2148" s="25" t="inlineStr">
        <is>
          <t>¡500 pesos, una oportunidad única para transformar tu vida!</t>
        </is>
      </c>
      <c r="E2148" s="26" t="n">
        <v>3500</v>
      </c>
      <c r="F2148" s="27">
        <f>E2148/Config!$B$1</f>
        <v/>
      </c>
      <c r="G2148" s="24" t="inlineStr">
        <is>
          <t>Real</t>
        </is>
      </c>
    </row>
  </sheetData>
  <autoFilter ref="A1:G214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style="19" min="1" max="1"/>
    <col width="11" customWidth="1" style="19" min="2" max="2"/>
    <col width="8" customWidth="1" style="19" min="3" max="3"/>
    <col width="16" customWidth="1" style="19" min="4" max="4"/>
    <col width="16" customWidth="1" style="19" min="5" max="5"/>
    <col width="16" customWidth="1" style="19" min="6" max="6"/>
    <col width="14" customWidth="1" style="19" min="7" max="7"/>
    <col width="14" customWidth="1" style="19" min="8" max="8"/>
    <col width="15" customWidth="1" style="19" min="9" max="9"/>
    <col width="15" customWidth="1" style="19" min="10" max="10"/>
    <col width="15" customWidth="1" style="19" min="11" max="11"/>
    <col width="15" customWidth="1" style="19" min="12" max="12"/>
    <col width="15" customWidth="1" style="19" min="13" max="13"/>
    <col width="15" customWidth="1" style="19" min="14" max="14"/>
    <col width="13" customWidth="1" style="19" min="15" max="15"/>
  </cols>
  <sheetData>
    <row r="1" ht="28" customHeight="1" s="19">
      <c r="A1" s="29" t="inlineStr">
        <is>
          <t>CATÁLOGO DE SERVICIOS CLIENTUM — con precios ARS y USD</t>
        </is>
      </c>
    </row>
    <row r="2" ht="16" customHeight="1" s="19">
      <c r="A2" s="30" t="inlineStr">
        <is>
          <t>Tipo de cambio USD/ARS → hoja Config celda B1  |  Fuente: clientum.com.ar/catalogo-servicios  |  Jul 2026</t>
        </is>
      </c>
    </row>
    <row r="3" ht="30" customHeight="1" s="19">
      <c r="A3" s="31" t="inlineStr">
        <is>
          <t>Servicio</t>
        </is>
      </c>
      <c r="B3" s="31" t="inlineStr">
        <is>
          <t>Plan</t>
        </is>
      </c>
      <c r="C3" s="31" t="inlineStr">
        <is>
          <t>Nivel</t>
        </is>
      </c>
      <c r="D3" s="31" t="inlineStr">
        <is>
          <t>Precio ARS mín</t>
        </is>
      </c>
      <c r="E3" s="31" t="inlineStr">
        <is>
          <t>Precio ARS máx</t>
        </is>
      </c>
      <c r="F3" s="31" t="inlineStr">
        <is>
          <t>Precio ARS medio</t>
        </is>
      </c>
      <c r="G3" s="31" t="inlineStr">
        <is>
          <t>Precio USD mín</t>
        </is>
      </c>
      <c r="H3" s="31" t="inlineStr">
        <is>
          <t>Precio USD máx</t>
        </is>
      </c>
      <c r="I3" s="31" t="inlineStr">
        <is>
          <t>Impl. ARS mín</t>
        </is>
      </c>
      <c r="J3" s="31" t="inlineStr">
        <is>
          <t>Impl. ARS máx</t>
        </is>
      </c>
      <c r="K3" s="31" t="inlineStr">
        <is>
          <t>Mant. ARS mín</t>
        </is>
      </c>
      <c r="L3" s="31" t="inlineStr">
        <is>
          <t>Mant. ARS máx</t>
        </is>
      </c>
      <c r="M3" s="31" t="inlineStr">
        <is>
          <t>Soporte ARS mín</t>
        </is>
      </c>
      <c r="N3" s="31" t="inlineStr">
        <is>
          <t>Soporte ARS máx</t>
        </is>
      </c>
      <c r="O3" s="31" t="inlineStr">
        <is>
          <t>Tiempo resp.</t>
        </is>
      </c>
    </row>
    <row r="4">
      <c r="A4" s="32" t="inlineStr">
        <is>
          <t>🔌 Integración API Gateway</t>
        </is>
      </c>
      <c r="B4" s="33" t="inlineStr">
        <is>
          <t>Basic</t>
        </is>
      </c>
      <c r="C4" s="34" t="n">
        <v>1</v>
      </c>
      <c r="D4" s="35" t="n">
        <v>400000</v>
      </c>
      <c r="E4" s="35" t="n">
        <v>600000</v>
      </c>
      <c r="F4" s="36" t="n">
        <v>500000</v>
      </c>
      <c r="G4" s="37">
        <f>400000/Config!$B$1</f>
        <v/>
      </c>
      <c r="H4" s="37">
        <f>600000/Config!$B$1</f>
        <v/>
      </c>
      <c r="I4" s="35" t="n">
        <v>120000</v>
      </c>
      <c r="J4" s="35" t="n">
        <v>180000</v>
      </c>
      <c r="K4" s="35" t="n">
        <v>80000</v>
      </c>
      <c r="L4" s="35" t="n">
        <v>120000</v>
      </c>
      <c r="M4" s="35" t="n">
        <v>60000</v>
      </c>
      <c r="N4" s="35" t="n">
        <v>90000</v>
      </c>
      <c r="O4" s="38" t="inlineStr">
        <is>
          <t>48 hs</t>
        </is>
      </c>
    </row>
    <row r="5">
      <c r="A5" s="32" t="inlineStr">
        <is>
          <t>🔌 Integración API Gateway</t>
        </is>
      </c>
      <c r="B5" s="33" t="inlineStr">
        <is>
          <t>Standard</t>
        </is>
      </c>
      <c r="C5" s="34" t="n">
        <v>2</v>
      </c>
      <c r="D5" s="35" t="n">
        <v>600000</v>
      </c>
      <c r="E5" s="35" t="n">
        <v>900000</v>
      </c>
      <c r="F5" s="36" t="n">
        <v>750000</v>
      </c>
      <c r="G5" s="37">
        <f>600000/Config!$B$1</f>
        <v/>
      </c>
      <c r="H5" s="37">
        <f>900000/Config!$B$1</f>
        <v/>
      </c>
      <c r="I5" s="35" t="n">
        <v>180000</v>
      </c>
      <c r="J5" s="35" t="n">
        <v>270000</v>
      </c>
      <c r="K5" s="35" t="n">
        <v>120000</v>
      </c>
      <c r="L5" s="35" t="n">
        <v>180000</v>
      </c>
      <c r="M5" s="35" t="n">
        <v>90000</v>
      </c>
      <c r="N5" s="35" t="n">
        <v>135000</v>
      </c>
      <c r="O5" s="38" t="inlineStr">
        <is>
          <t>36 hs</t>
        </is>
      </c>
    </row>
    <row r="6">
      <c r="A6" s="39" t="inlineStr">
        <is>
          <t>🔌 Integración API Gateway</t>
        </is>
      </c>
      <c r="B6" s="40" t="inlineStr">
        <is>
          <t>Pro</t>
        </is>
      </c>
      <c r="C6" s="41" t="n">
        <v>3</v>
      </c>
      <c r="D6" s="42" t="n">
        <v>900000</v>
      </c>
      <c r="E6" s="42" t="n">
        <v>1300000</v>
      </c>
      <c r="F6" s="43" t="n">
        <v>1100000</v>
      </c>
      <c r="G6" s="44">
        <f>900000/Config!$B$1</f>
        <v/>
      </c>
      <c r="H6" s="44">
        <f>1300000/Config!$B$1</f>
        <v/>
      </c>
      <c r="I6" s="42" t="n">
        <v>270000</v>
      </c>
      <c r="J6" s="42" t="n">
        <v>390000</v>
      </c>
      <c r="K6" s="42" t="n">
        <v>180000</v>
      </c>
      <c r="L6" s="42" t="n">
        <v>260000</v>
      </c>
      <c r="M6" s="42" t="n">
        <v>135000</v>
      </c>
      <c r="N6" s="42" t="n">
        <v>195000</v>
      </c>
      <c r="O6" s="45" t="inlineStr">
        <is>
          <t>24 hs</t>
        </is>
      </c>
    </row>
    <row r="7">
      <c r="A7" s="32" t="inlineStr">
        <is>
          <t>🔌 Integración API Gateway</t>
        </is>
      </c>
      <c r="B7" s="33" t="inlineStr">
        <is>
          <t>Advanced</t>
        </is>
      </c>
      <c r="C7" s="34" t="n">
        <v>4</v>
      </c>
      <c r="D7" s="35" t="n">
        <v>1300000</v>
      </c>
      <c r="E7" s="35" t="n">
        <v>1700000</v>
      </c>
      <c r="F7" s="36" t="n">
        <v>1500000</v>
      </c>
      <c r="G7" s="37">
        <f>1300000/Config!$B$1</f>
        <v/>
      </c>
      <c r="H7" s="37">
        <f>1700000/Config!$B$1</f>
        <v/>
      </c>
      <c r="I7" s="35" t="n">
        <v>390000</v>
      </c>
      <c r="J7" s="35" t="n">
        <v>510000</v>
      </c>
      <c r="K7" s="35" t="n">
        <v>260000</v>
      </c>
      <c r="L7" s="35" t="n">
        <v>340000</v>
      </c>
      <c r="M7" s="35" t="n">
        <v>195000</v>
      </c>
      <c r="N7" s="35" t="n">
        <v>255000</v>
      </c>
      <c r="O7" s="38" t="inlineStr">
        <is>
          <t>18 hs</t>
        </is>
      </c>
    </row>
    <row r="8">
      <c r="A8" s="46" t="inlineStr">
        <is>
          <t>🔌 Integración API Gateway</t>
        </is>
      </c>
      <c r="B8" s="47" t="inlineStr">
        <is>
          <t>Enterprise</t>
        </is>
      </c>
      <c r="C8" s="48" t="n">
        <v>5</v>
      </c>
      <c r="D8" s="49" t="n">
        <v>1700000</v>
      </c>
      <c r="E8" s="49" t="n">
        <v>2200000</v>
      </c>
      <c r="F8" s="50" t="n">
        <v>1950000</v>
      </c>
      <c r="G8" s="51">
        <f>1700000/Config!$B$1</f>
        <v/>
      </c>
      <c r="H8" s="51">
        <f>2200000/Config!$B$1</f>
        <v/>
      </c>
      <c r="I8" s="49" t="n">
        <v>510000</v>
      </c>
      <c r="J8" s="49" t="n">
        <v>660000</v>
      </c>
      <c r="K8" s="49" t="n">
        <v>340000</v>
      </c>
      <c r="L8" s="49" t="n">
        <v>440000</v>
      </c>
      <c r="M8" s="49" t="n">
        <v>255000</v>
      </c>
      <c r="N8" s="49" t="n">
        <v>330000</v>
      </c>
      <c r="O8" s="52" t="inlineStr">
        <is>
          <t>12 hs</t>
        </is>
      </c>
    </row>
    <row r="9">
      <c r="A9" s="32" t="inlineStr">
        <is>
          <t>🤖 Viaweb AI Copilot</t>
        </is>
      </c>
      <c r="B9" s="33" t="inlineStr">
        <is>
          <t>Basic</t>
        </is>
      </c>
      <c r="C9" s="34" t="n">
        <v>1</v>
      </c>
      <c r="D9" s="35" t="n">
        <v>600000</v>
      </c>
      <c r="E9" s="35" t="n">
        <v>900000</v>
      </c>
      <c r="F9" s="36" t="n">
        <v>750000</v>
      </c>
      <c r="G9" s="37">
        <f>600000/Config!$B$1</f>
        <v/>
      </c>
      <c r="H9" s="37">
        <f>900000/Config!$B$1</f>
        <v/>
      </c>
      <c r="I9" s="35" t="n">
        <v>180000</v>
      </c>
      <c r="J9" s="35" t="n">
        <v>270000</v>
      </c>
      <c r="K9" s="35" t="n">
        <v>120000</v>
      </c>
      <c r="L9" s="35" t="n">
        <v>180000</v>
      </c>
      <c r="M9" s="35" t="n">
        <v>90000</v>
      </c>
      <c r="N9" s="35" t="n">
        <v>135000</v>
      </c>
      <c r="O9" s="38" t="inlineStr">
        <is>
          <t>48 hs</t>
        </is>
      </c>
    </row>
    <row r="10">
      <c r="A10" s="32" t="inlineStr">
        <is>
          <t>🤖 Viaweb AI Copilot</t>
        </is>
      </c>
      <c r="B10" s="33" t="inlineStr">
        <is>
          <t>Standard</t>
        </is>
      </c>
      <c r="C10" s="34" t="n">
        <v>2</v>
      </c>
      <c r="D10" s="35" t="n">
        <v>900000</v>
      </c>
      <c r="E10" s="35" t="n">
        <v>1300000</v>
      </c>
      <c r="F10" s="36" t="n">
        <v>1100000</v>
      </c>
      <c r="G10" s="37">
        <f>900000/Config!$B$1</f>
        <v/>
      </c>
      <c r="H10" s="37">
        <f>1300000/Config!$B$1</f>
        <v/>
      </c>
      <c r="I10" s="35" t="n">
        <v>270000</v>
      </c>
      <c r="J10" s="35" t="n">
        <v>390000</v>
      </c>
      <c r="K10" s="35" t="n">
        <v>180000</v>
      </c>
      <c r="L10" s="35" t="n">
        <v>260000</v>
      </c>
      <c r="M10" s="35" t="n">
        <v>135000</v>
      </c>
      <c r="N10" s="35" t="n">
        <v>195000</v>
      </c>
      <c r="O10" s="38" t="inlineStr">
        <is>
          <t>36 hs</t>
        </is>
      </c>
    </row>
    <row r="11">
      <c r="A11" s="39" t="inlineStr">
        <is>
          <t>🤖 Viaweb AI Copilot</t>
        </is>
      </c>
      <c r="B11" s="40" t="inlineStr">
        <is>
          <t>Pro</t>
        </is>
      </c>
      <c r="C11" s="41" t="n">
        <v>3</v>
      </c>
      <c r="D11" s="42" t="n">
        <v>1300000</v>
      </c>
      <c r="E11" s="42" t="n">
        <v>1800000</v>
      </c>
      <c r="F11" s="43" t="n">
        <v>1550000</v>
      </c>
      <c r="G11" s="44">
        <f>1300000/Config!$B$1</f>
        <v/>
      </c>
      <c r="H11" s="44">
        <f>1800000/Config!$B$1</f>
        <v/>
      </c>
      <c r="I11" s="42" t="n">
        <v>390000</v>
      </c>
      <c r="J11" s="42" t="n">
        <v>540000</v>
      </c>
      <c r="K11" s="42" t="n">
        <v>260000</v>
      </c>
      <c r="L11" s="42" t="n">
        <v>360000</v>
      </c>
      <c r="M11" s="42" t="n">
        <v>195000</v>
      </c>
      <c r="N11" s="42" t="n">
        <v>270000</v>
      </c>
      <c r="O11" s="45" t="inlineStr">
        <is>
          <t>24 hs</t>
        </is>
      </c>
    </row>
    <row r="12">
      <c r="A12" s="32" t="inlineStr">
        <is>
          <t>🤖 Viaweb AI Copilot</t>
        </is>
      </c>
      <c r="B12" s="33" t="inlineStr">
        <is>
          <t>Advanced</t>
        </is>
      </c>
      <c r="C12" s="34" t="n">
        <v>4</v>
      </c>
      <c r="D12" s="35" t="n">
        <v>1800000</v>
      </c>
      <c r="E12" s="35" t="n">
        <v>2300000</v>
      </c>
      <c r="F12" s="36" t="n">
        <v>2050000</v>
      </c>
      <c r="G12" s="37">
        <f>1800000/Config!$B$1</f>
        <v/>
      </c>
      <c r="H12" s="37">
        <f>2300000/Config!$B$1</f>
        <v/>
      </c>
      <c r="I12" s="35" t="n">
        <v>540000</v>
      </c>
      <c r="J12" s="35" t="n">
        <v>690000</v>
      </c>
      <c r="K12" s="35" t="n">
        <v>360000</v>
      </c>
      <c r="L12" s="35" t="n">
        <v>460000</v>
      </c>
      <c r="M12" s="35" t="n">
        <v>270000</v>
      </c>
      <c r="N12" s="35" t="n">
        <v>345000</v>
      </c>
      <c r="O12" s="38" t="inlineStr">
        <is>
          <t>18 hs</t>
        </is>
      </c>
    </row>
    <row r="13">
      <c r="A13" s="46" t="inlineStr">
        <is>
          <t>🤖 Viaweb AI Copilot</t>
        </is>
      </c>
      <c r="B13" s="47" t="inlineStr">
        <is>
          <t>Enterprise</t>
        </is>
      </c>
      <c r="C13" s="48" t="n">
        <v>5</v>
      </c>
      <c r="D13" s="49" t="n">
        <v>2300000</v>
      </c>
      <c r="E13" s="49" t="n">
        <v>3000000</v>
      </c>
      <c r="F13" s="50" t="n">
        <v>2650000</v>
      </c>
      <c r="G13" s="51">
        <f>2300000/Config!$B$1</f>
        <v/>
      </c>
      <c r="H13" s="51">
        <f>3000000/Config!$B$1</f>
        <v/>
      </c>
      <c r="I13" s="49" t="n">
        <v>690000</v>
      </c>
      <c r="J13" s="49" t="n">
        <v>900000</v>
      </c>
      <c r="K13" s="49" t="n">
        <v>460000</v>
      </c>
      <c r="L13" s="49" t="n">
        <v>600000</v>
      </c>
      <c r="M13" s="49" t="n">
        <v>345000</v>
      </c>
      <c r="N13" s="49" t="n">
        <v>450000</v>
      </c>
      <c r="O13" s="52" t="inlineStr">
        <is>
          <t>12 hs</t>
        </is>
      </c>
    </row>
    <row r="14">
      <c r="A14" s="32" t="inlineStr">
        <is>
          <t>💻 Desarrollo Web Personalizado</t>
        </is>
      </c>
      <c r="B14" s="33" t="inlineStr">
        <is>
          <t>Basic</t>
        </is>
      </c>
      <c r="C14" s="34" t="n">
        <v>1</v>
      </c>
      <c r="D14" s="35" t="n">
        <v>800000</v>
      </c>
      <c r="E14" s="35" t="n">
        <v>1500000</v>
      </c>
      <c r="F14" s="36" t="n">
        <v>1150000</v>
      </c>
      <c r="G14" s="37">
        <f>800000/Config!$B$1</f>
        <v/>
      </c>
      <c r="H14" s="37">
        <f>1500000/Config!$B$1</f>
        <v/>
      </c>
      <c r="I14" s="35" t="n">
        <v>240000</v>
      </c>
      <c r="J14" s="35" t="n">
        <v>450000</v>
      </c>
      <c r="K14" s="35" t="n">
        <v>160000</v>
      </c>
      <c r="L14" s="35" t="n">
        <v>300000</v>
      </c>
      <c r="M14" s="35" t="n">
        <v>120000</v>
      </c>
      <c r="N14" s="35" t="n">
        <v>225000</v>
      </c>
      <c r="O14" s="38" t="inlineStr">
        <is>
          <t>48 hs</t>
        </is>
      </c>
    </row>
    <row r="15">
      <c r="A15" s="32" t="inlineStr">
        <is>
          <t>💻 Desarrollo Web Personalizado</t>
        </is>
      </c>
      <c r="B15" s="33" t="inlineStr">
        <is>
          <t>Standard</t>
        </is>
      </c>
      <c r="C15" s="34" t="n">
        <v>2</v>
      </c>
      <c r="D15" s="35" t="n">
        <v>1500000</v>
      </c>
      <c r="E15" s="35" t="n">
        <v>2000000</v>
      </c>
      <c r="F15" s="36" t="n">
        <v>1750000</v>
      </c>
      <c r="G15" s="37">
        <f>1500000/Config!$B$1</f>
        <v/>
      </c>
      <c r="H15" s="37">
        <f>2000000/Config!$B$1</f>
        <v/>
      </c>
      <c r="I15" s="35" t="n">
        <v>450000</v>
      </c>
      <c r="J15" s="35" t="n">
        <v>600000</v>
      </c>
      <c r="K15" s="35" t="n">
        <v>300000</v>
      </c>
      <c r="L15" s="35" t="n">
        <v>400000</v>
      </c>
      <c r="M15" s="35" t="n">
        <v>225000</v>
      </c>
      <c r="N15" s="35" t="n">
        <v>300000</v>
      </c>
      <c r="O15" s="38" t="inlineStr">
        <is>
          <t>36 hs</t>
        </is>
      </c>
    </row>
    <row r="16">
      <c r="A16" s="39" t="inlineStr">
        <is>
          <t>💻 Desarrollo Web Personalizado</t>
        </is>
      </c>
      <c r="B16" s="40" t="inlineStr">
        <is>
          <t>Pro</t>
        </is>
      </c>
      <c r="C16" s="41" t="n">
        <v>3</v>
      </c>
      <c r="D16" s="42" t="n">
        <v>2000000</v>
      </c>
      <c r="E16" s="42" t="n">
        <v>3000000</v>
      </c>
      <c r="F16" s="43" t="n">
        <v>2500000</v>
      </c>
      <c r="G16" s="44">
        <f>2000000/Config!$B$1</f>
        <v/>
      </c>
      <c r="H16" s="44">
        <f>3000000/Config!$B$1</f>
        <v/>
      </c>
      <c r="I16" s="42" t="n">
        <v>600000</v>
      </c>
      <c r="J16" s="42" t="n">
        <v>900000</v>
      </c>
      <c r="K16" s="42" t="n">
        <v>400000</v>
      </c>
      <c r="L16" s="42" t="n">
        <v>600000</v>
      </c>
      <c r="M16" s="42" t="n">
        <v>300000</v>
      </c>
      <c r="N16" s="42" t="n">
        <v>450000</v>
      </c>
      <c r="O16" s="45" t="inlineStr">
        <is>
          <t>24 hs</t>
        </is>
      </c>
    </row>
    <row r="17">
      <c r="A17" s="32" t="inlineStr">
        <is>
          <t>💻 Desarrollo Web Personalizado</t>
        </is>
      </c>
      <c r="B17" s="33" t="inlineStr">
        <is>
          <t>Advanced</t>
        </is>
      </c>
      <c r="C17" s="34" t="n">
        <v>4</v>
      </c>
      <c r="D17" s="35" t="n">
        <v>3000000</v>
      </c>
      <c r="E17" s="35" t="n">
        <v>4000000</v>
      </c>
      <c r="F17" s="36" t="n">
        <v>3500000</v>
      </c>
      <c r="G17" s="37">
        <f>3000000/Config!$B$1</f>
        <v/>
      </c>
      <c r="H17" s="37">
        <f>4000000/Config!$B$1</f>
        <v/>
      </c>
      <c r="I17" s="35" t="n">
        <v>900000</v>
      </c>
      <c r="J17" s="35" t="n">
        <v>1200000</v>
      </c>
      <c r="K17" s="35" t="n">
        <v>600000</v>
      </c>
      <c r="L17" s="35" t="n">
        <v>800000</v>
      </c>
      <c r="M17" s="35" t="n">
        <v>450000</v>
      </c>
      <c r="N17" s="35" t="n">
        <v>600000</v>
      </c>
      <c r="O17" s="38" t="inlineStr">
        <is>
          <t>18 hs</t>
        </is>
      </c>
    </row>
    <row r="18">
      <c r="A18" s="46" t="inlineStr">
        <is>
          <t>💻 Desarrollo Web Personalizado</t>
        </is>
      </c>
      <c r="B18" s="47" t="inlineStr">
        <is>
          <t>Enterprise</t>
        </is>
      </c>
      <c r="C18" s="48" t="n">
        <v>5</v>
      </c>
      <c r="D18" s="49" t="n">
        <v>4000000</v>
      </c>
      <c r="E18" s="49" t="n">
        <v>5000000</v>
      </c>
      <c r="F18" s="50" t="n">
        <v>4500000</v>
      </c>
      <c r="G18" s="51">
        <f>4000000/Config!$B$1</f>
        <v/>
      </c>
      <c r="H18" s="51">
        <f>5000000/Config!$B$1</f>
        <v/>
      </c>
      <c r="I18" s="49" t="n">
        <v>1200000</v>
      </c>
      <c r="J18" s="49" t="n">
        <v>1500000</v>
      </c>
      <c r="K18" s="49" t="n">
        <v>800000</v>
      </c>
      <c r="L18" s="49" t="n">
        <v>1000000</v>
      </c>
      <c r="M18" s="49" t="n">
        <v>600000</v>
      </c>
      <c r="N18" s="49" t="n">
        <v>750000</v>
      </c>
      <c r="O18" s="52" t="inlineStr">
        <is>
          <t>12 hs</t>
        </is>
      </c>
    </row>
    <row r="19" ht="22" customHeight="1" s="19">
      <c r="A19" s="53" t="inlineStr">
        <is>
          <t>💡  Precios de referencia en ARS. USD calculado con tipo de cambio editable en hoja Config (celda B1). Cada proyecto se cotiza a medida. Fuente: clientum.com.ar/catalogo-servicios · Jul 2026</t>
        </is>
      </c>
    </row>
  </sheetData>
  <mergeCells count="3">
    <mergeCell ref="A19:O19"/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style="19" min="1" max="1"/>
    <col width="18" customWidth="1" style="19" min="2" max="2"/>
    <col width="16" customWidth="1" style="19" min="3" max="3"/>
    <col width="22" customWidth="1" style="19" min="4" max="4"/>
    <col width="18" customWidth="1" style="19" min="5" max="5"/>
    <col width="12" customWidth="1" style="19" min="6" max="6"/>
    <col width="14" customWidth="1" style="19" min="7" max="7"/>
    <col width="16" customWidth="1" style="19" min="8" max="8"/>
    <col width="16" customWidth="1" style="19" min="9" max="9"/>
    <col width="16" customWidth="1" style="19" min="10" max="10"/>
    <col width="24" customWidth="1" style="19" min="11" max="11"/>
    <col width="12" customWidth="1" style="19" min="12" max="12"/>
  </cols>
  <sheetData>
    <row r="1" ht="28" customHeight="1" s="19">
      <c r="A1" s="29" t="inlineStr">
        <is>
          <t>PLANES CLIENTUM — Suscripción mensual ARS y equivalente USD</t>
        </is>
      </c>
    </row>
    <row r="2" ht="16" customHeight="1" s="19">
      <c r="A2" s="30" t="inlineStr">
        <is>
          <t>Precios en ARS/mes (Jul 2026). USD = ARS / tipo de cambio en Config!B1  |  Fuente: clientum.com.ar/precios</t>
        </is>
      </c>
    </row>
    <row r="3" ht="30" customHeight="1" s="19">
      <c r="A3" s="31" t="inlineStr">
        <is>
          <t>Plan</t>
        </is>
      </c>
      <c r="B3" s="31" t="inlineStr">
        <is>
          <t>Precio ARS/mes</t>
        </is>
      </c>
      <c r="C3" s="31" t="inlineStr">
        <is>
          <t>Precio USD/mes</t>
        </is>
      </c>
      <c r="D3" s="31" t="inlineStr">
        <is>
          <t>Conversaciones WhatsApp</t>
        </is>
      </c>
      <c r="E3" s="31" t="inlineStr">
        <is>
          <t>Contactos CRM</t>
        </is>
      </c>
      <c r="F3" s="31" t="inlineStr">
        <is>
          <t>Usuarios</t>
        </is>
      </c>
      <c r="G3" s="31" t="inlineStr">
        <is>
          <t>IA incluida</t>
        </is>
      </c>
      <c r="H3" s="31" t="inlineStr">
        <is>
          <t>Automatización</t>
        </is>
      </c>
      <c r="I3" s="31" t="inlineStr">
        <is>
          <t>AFIP integrada</t>
        </is>
      </c>
      <c r="J3" s="31" t="inlineStr">
        <is>
          <t>Portal cliente</t>
        </is>
      </c>
      <c r="K3" s="31" t="inlineStr">
        <is>
          <t>Soporte</t>
        </is>
      </c>
      <c r="L3" s="31" t="inlineStr">
        <is>
          <t>Destacado</t>
        </is>
      </c>
    </row>
    <row r="4">
      <c r="A4" s="33" t="inlineStr">
        <is>
          <t>Demo</t>
        </is>
      </c>
      <c r="B4" s="54" t="inlineStr">
        <is>
          <t>Gratis</t>
        </is>
      </c>
      <c r="C4" s="55" t="inlineStr">
        <is>
          <t>—</t>
        </is>
      </c>
      <c r="D4" s="38" t="inlineStr">
        <is>
          <t>Prueba</t>
        </is>
      </c>
      <c r="E4" s="38" t="inlineStr">
        <is>
          <t>100</t>
        </is>
      </c>
      <c r="F4" s="38" t="inlineStr">
        <is>
          <t>1</t>
        </is>
      </c>
      <c r="G4" s="34" t="inlineStr">
        <is>
          <t>No</t>
        </is>
      </c>
      <c r="H4" s="34" t="inlineStr">
        <is>
          <t>No</t>
        </is>
      </c>
      <c r="I4" s="34" t="inlineStr">
        <is>
          <t>No</t>
        </is>
      </c>
      <c r="J4" s="38" t="inlineStr">
        <is>
          <t>No</t>
        </is>
      </c>
      <c r="K4" s="56" t="inlineStr">
        <is>
          <t>Email</t>
        </is>
      </c>
      <c r="L4" s="57" t="inlineStr">
        <is>
          <t>Gratis 14 días</t>
        </is>
      </c>
    </row>
    <row r="5">
      <c r="A5" s="33" t="inlineStr">
        <is>
          <t>Starter</t>
        </is>
      </c>
      <c r="B5" s="58" t="n">
        <v>89990</v>
      </c>
      <c r="C5" s="37">
        <f>89990/Config!$B$1</f>
        <v/>
      </c>
      <c r="D5" s="38" t="inlineStr">
        <is>
          <t>500 conv./mes</t>
        </is>
      </c>
      <c r="E5" s="38" t="inlineStr">
        <is>
          <t>500</t>
        </is>
      </c>
      <c r="F5" s="38" t="inlineStr">
        <is>
          <t>1</t>
        </is>
      </c>
      <c r="G5" s="34" t="inlineStr">
        <is>
          <t>No</t>
        </is>
      </c>
      <c r="H5" s="34" t="inlineStr">
        <is>
          <t>No</t>
        </is>
      </c>
      <c r="I5" s="34" t="inlineStr">
        <is>
          <t>No</t>
        </is>
      </c>
      <c r="J5" s="38" t="inlineStr">
        <is>
          <t>Básico</t>
        </is>
      </c>
      <c r="K5" s="56" t="inlineStr">
        <is>
          <t>Email</t>
        </is>
      </c>
      <c r="L5" s="34" t="inlineStr">
        <is>
          <t>—</t>
        </is>
      </c>
    </row>
    <row r="6">
      <c r="A6" s="40" t="inlineStr">
        <is>
          <t>Pro</t>
        </is>
      </c>
      <c r="B6" s="59" t="n">
        <v>179990</v>
      </c>
      <c r="C6" s="60">
        <f>179990/Config!$B$1</f>
        <v/>
      </c>
      <c r="D6" s="61" t="inlineStr">
        <is>
          <t>Ilimitado</t>
        </is>
      </c>
      <c r="E6" s="61" t="inlineStr">
        <is>
          <t>Ilimitados</t>
        </is>
      </c>
      <c r="F6" s="61" t="inlineStr">
        <is>
          <t>1</t>
        </is>
      </c>
      <c r="G6" s="62" t="inlineStr">
        <is>
          <t>✓</t>
        </is>
      </c>
      <c r="H6" s="62" t="inlineStr">
        <is>
          <t>✓</t>
        </is>
      </c>
      <c r="I6" s="62" t="inlineStr">
        <is>
          <t>✓</t>
        </is>
      </c>
      <c r="J6" s="61" t="inlineStr">
        <is>
          <t>Personalizado</t>
        </is>
      </c>
      <c r="K6" s="63" t="inlineStr">
        <is>
          <t>Prioritario &lt; 4 hs</t>
        </is>
      </c>
      <c r="L6" s="45" t="inlineStr">
        <is>
          <t>Más popular</t>
        </is>
      </c>
    </row>
    <row r="7">
      <c r="A7" s="33" t="inlineStr">
        <is>
          <t>Business</t>
        </is>
      </c>
      <c r="B7" s="58" t="n">
        <v>349990</v>
      </c>
      <c r="C7" s="37">
        <f>349990/Config!$B$1</f>
        <v/>
      </c>
      <c r="D7" s="38" t="inlineStr">
        <is>
          <t>Multi-línea</t>
        </is>
      </c>
      <c r="E7" s="38" t="inlineStr">
        <is>
          <t>Ilimitados</t>
        </is>
      </c>
      <c r="F7" s="38" t="inlineStr">
        <is>
          <t>Hasta 5</t>
        </is>
      </c>
      <c r="G7" s="64" t="inlineStr">
        <is>
          <t>✓</t>
        </is>
      </c>
      <c r="H7" s="64" t="inlineStr">
        <is>
          <t>✓</t>
        </is>
      </c>
      <c r="I7" s="64" t="inlineStr">
        <is>
          <t>✓</t>
        </is>
      </c>
      <c r="J7" s="38" t="inlineStr">
        <is>
          <t>Personalizado</t>
        </is>
      </c>
      <c r="K7" s="56" t="inlineStr">
        <is>
          <t>Manager dedicado</t>
        </is>
      </c>
      <c r="L7" s="57" t="inlineStr">
        <is>
          <t>Nuevo</t>
        </is>
      </c>
    </row>
    <row r="8">
      <c r="A8" s="33" t="inlineStr">
        <is>
          <t>Enterprise</t>
        </is>
      </c>
      <c r="B8" s="55" t="inlineStr">
        <is>
          <t>A medida</t>
        </is>
      </c>
      <c r="C8" s="55" t="inlineStr">
        <is>
          <t>—</t>
        </is>
      </c>
      <c r="D8" s="38" t="inlineStr">
        <is>
          <t>Multi-línea + multi-sucursal</t>
        </is>
      </c>
      <c r="E8" s="38" t="inlineStr">
        <is>
          <t>Ilimitados</t>
        </is>
      </c>
      <c r="F8" s="38" t="inlineStr">
        <is>
          <t>Ilimitados</t>
        </is>
      </c>
      <c r="G8" s="64" t="inlineStr">
        <is>
          <t>✓</t>
        </is>
      </c>
      <c r="H8" s="64" t="inlineStr">
        <is>
          <t>✓</t>
        </is>
      </c>
      <c r="I8" s="64" t="inlineStr">
        <is>
          <t>✓</t>
        </is>
      </c>
      <c r="J8" s="38" t="inlineStr">
        <is>
          <t>Personalizado</t>
        </is>
      </c>
      <c r="K8" s="56" t="inlineStr">
        <is>
          <t>SLA garantizado</t>
        </is>
      </c>
      <c r="L8" s="57" t="inlineStr">
        <is>
          <t>A medida</t>
        </is>
      </c>
    </row>
    <row r="9" ht="18" customHeight="1" s="19">
      <c r="A9" s="65" t="inlineStr">
        <is>
          <t>⚡  Pagá anual y ahorrá 20% (≈ 2 meses gratis)  |  Pago con transferencia bancaria o MercadoPago  |  Sin tarjeta de crédito para Demo</t>
        </is>
      </c>
    </row>
    <row r="10" ht="16" customHeight="1" s="19">
      <c r="A10" s="66" t="inlineStr">
        <is>
          <t>💡  USD calculado con tipo de cambio editable en hoja Config!B1  |  Fuente: clientum.com.ar/precios · Jul 2026</t>
        </is>
      </c>
    </row>
  </sheetData>
  <mergeCells count="4">
    <mergeCell ref="A10:L10"/>
    <mergeCell ref="A2:L2"/>
    <mergeCell ref="A1:L1"/>
    <mergeCell ref="A9:L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8" min="1" max="1"/>
    <col width="20" customWidth="1" style="18" min="2" max="4"/>
    <col width="16" customWidth="1" style="18" min="5" max="6"/>
  </cols>
  <sheetData>
    <row r="1" ht="15" customHeight="1" s="19">
      <c r="A1" s="67" t="inlineStr">
        <is>
          <t>Categoría</t>
        </is>
      </c>
      <c r="B1" s="67" t="inlineStr">
        <is>
          <t>Cantidad de servicios</t>
        </is>
      </c>
      <c r="C1" s="67" t="inlineStr">
        <is>
          <t>Precio ARS promedio</t>
        </is>
      </c>
      <c r="D1" s="67" t="inlineStr">
        <is>
          <t>Precio USD promedio</t>
        </is>
      </c>
      <c r="E1" s="67" t="inlineStr">
        <is>
          <t>Precio ARS mínimo</t>
        </is>
      </c>
      <c r="F1" s="67" t="inlineStr">
        <is>
          <t>Precio ARS máximo</t>
        </is>
      </c>
    </row>
    <row r="2" ht="15" customHeight="1" s="19">
      <c r="A2" s="68" t="inlineStr">
        <is>
          <t>Aplicaciones Móviles</t>
        </is>
      </c>
      <c r="B2" s="68">
        <f>COUNTIF(Catálogo!$C$2:$C$2148,A2)</f>
        <v/>
      </c>
      <c r="C2" s="69">
        <f>AVERAGEIF(Catálogo!$C$2:$C$2148,A2,Catálogo!$E$2:$E$2148)</f>
        <v/>
      </c>
      <c r="D2" s="70">
        <f>AVERAGEIF(Catálogo!$C$2:$C$2148,A2,Catálogo!$F$2:$F$2148)</f>
        <v/>
      </c>
      <c r="E2" s="69">
        <f t="array" ref="E2:E2">MIN(IF(Catálogo!$C$2:$C$2148=A2,Catálogo!$E$2:$E$2148))</f>
        <v/>
      </c>
      <c r="F2" s="69">
        <f t="array" ref="F2:F2">MAX(IF(Catálogo!$C$2:$C$2148=A2,Catálogo!$E$2:$E$2148))</f>
        <v/>
      </c>
    </row>
    <row r="3" ht="15" customHeight="1" s="19">
      <c r="A3" s="68" t="inlineStr">
        <is>
          <t>Atención al Cliente</t>
        </is>
      </c>
      <c r="B3" s="68">
        <f>COUNTIF(Catálogo!$C$2:$C$2148,A3)</f>
        <v/>
      </c>
      <c r="C3" s="69">
        <f>AVERAGEIF(Catálogo!$C$2:$C$2148,A3,Catálogo!$E$2:$E$2148)</f>
        <v/>
      </c>
      <c r="D3" s="70">
        <f>AVERAGEIF(Catálogo!$C$2:$C$2148,A3,Catálogo!$F$2:$F$2148)</f>
        <v/>
      </c>
      <c r="E3" s="69">
        <f t="array" ref="E3:E3">MIN(IF(Catálogo!$C$2:$C$2148=A3,Catálogo!$E$2:$E$2148))</f>
        <v/>
      </c>
      <c r="F3" s="69">
        <f t="array" ref="F3:F3">MAX(IF(Catálogo!$C$2:$C$2148=A3,Catálogo!$E$2:$E$2148))</f>
        <v/>
      </c>
    </row>
    <row r="4" ht="15" customHeight="1" s="19">
      <c r="A4" s="68" t="inlineStr">
        <is>
          <t>Automatización de Procesos</t>
        </is>
      </c>
      <c r="B4" s="68">
        <f>COUNTIF(Catálogo!$C$2:$C$2148,A4)</f>
        <v/>
      </c>
      <c r="C4" s="69">
        <f>AVERAGEIF(Catálogo!$C$2:$C$2148,A4,Catálogo!$E$2:$E$2148)</f>
        <v/>
      </c>
      <c r="D4" s="70">
        <f>AVERAGEIF(Catálogo!$C$2:$C$2148,A4,Catálogo!$F$2:$F$2148)</f>
        <v/>
      </c>
      <c r="E4" s="69">
        <f t="array" ref="E4:E4">MIN(IF(Catálogo!$C$2:$C$2148=A4,Catálogo!$E$2:$E$2148))</f>
        <v/>
      </c>
      <c r="F4" s="69">
        <f t="array" ref="F4:F4">MAX(IF(Catálogo!$C$2:$C$2148=A4,Catálogo!$E$2:$E$2148))</f>
        <v/>
      </c>
    </row>
    <row r="5" ht="15" customHeight="1" s="19">
      <c r="A5" s="68" t="inlineStr">
        <is>
          <t>Business Intelligence</t>
        </is>
      </c>
      <c r="B5" s="68">
        <f>COUNTIF(Catálogo!$C$2:$C$2148,A5)</f>
        <v/>
      </c>
      <c r="C5" s="69">
        <f>AVERAGEIF(Catálogo!$C$2:$C$2148,A5,Catálogo!$E$2:$E$2148)</f>
        <v/>
      </c>
      <c r="D5" s="70">
        <f>AVERAGEIF(Catálogo!$C$2:$C$2148,A5,Catálogo!$F$2:$F$2148)</f>
        <v/>
      </c>
      <c r="E5" s="69">
        <f t="array" ref="E5:E5">MIN(IF(Catálogo!$C$2:$C$2148=A5,Catálogo!$E$2:$E$2148))</f>
        <v/>
      </c>
      <c r="F5" s="69">
        <f t="array" ref="F5:F5">MAX(IF(Catálogo!$C$2:$C$2148=A5,Catálogo!$E$2:$E$2148))</f>
        <v/>
      </c>
    </row>
    <row r="6" ht="15" customHeight="1" s="19">
      <c r="A6" s="68" t="inlineStr">
        <is>
          <t>Ciberseguridad</t>
        </is>
      </c>
      <c r="B6" s="68">
        <f>COUNTIF(Catálogo!$C$2:$C$2148,A6)</f>
        <v/>
      </c>
      <c r="C6" s="69">
        <f>AVERAGEIF(Catálogo!$C$2:$C$2148,A6,Catálogo!$E$2:$E$2148)</f>
        <v/>
      </c>
      <c r="D6" s="70">
        <f>AVERAGEIF(Catálogo!$C$2:$C$2148,A6,Catálogo!$F$2:$F$2148)</f>
        <v/>
      </c>
      <c r="E6" s="69">
        <f t="array" ref="E6:E6">MIN(IF(Catálogo!$C$2:$C$2148=A6,Catálogo!$E$2:$E$2148))</f>
        <v/>
      </c>
      <c r="F6" s="69">
        <f t="array" ref="F6:F6">MAX(IF(Catálogo!$C$2:$C$2148=A6,Catálogo!$E$2:$E$2148))</f>
        <v/>
      </c>
    </row>
    <row r="7" ht="15" customHeight="1" s="19">
      <c r="A7" s="68" t="inlineStr">
        <is>
          <t>Cloud Computing</t>
        </is>
      </c>
      <c r="B7" s="68">
        <f>COUNTIF(Catálogo!$C$2:$C$2148,A7)</f>
        <v/>
      </c>
      <c r="C7" s="69">
        <f>AVERAGEIF(Catálogo!$C$2:$C$2148,A7,Catálogo!$E$2:$E$2148)</f>
        <v/>
      </c>
      <c r="D7" s="70">
        <f>AVERAGEIF(Catálogo!$C$2:$C$2148,A7,Catálogo!$F$2:$F$2148)</f>
        <v/>
      </c>
      <c r="E7" s="69">
        <f t="array" ref="E7:E7">MIN(IF(Catálogo!$C$2:$C$2148=A7,Catálogo!$E$2:$E$2148))</f>
        <v/>
      </c>
      <c r="F7" s="69">
        <f t="array" ref="F7:F7">MAX(IF(Catálogo!$C$2:$C$2148=A7,Catálogo!$E$2:$E$2148))</f>
        <v/>
      </c>
    </row>
    <row r="8" ht="15" customHeight="1" s="19">
      <c r="A8" s="68" t="inlineStr">
        <is>
          <t>Desarrollo Web y E-Commerce</t>
        </is>
      </c>
      <c r="B8" s="68">
        <f>COUNTIF(Catálogo!$C$2:$C$2148,A8)</f>
        <v/>
      </c>
      <c r="C8" s="69">
        <f>AVERAGEIF(Catálogo!$C$2:$C$2148,A8,Catálogo!$E$2:$E$2148)</f>
        <v/>
      </c>
      <c r="D8" s="70">
        <f>AVERAGEIF(Catálogo!$C$2:$C$2148,A8,Catálogo!$F$2:$F$2148)</f>
        <v/>
      </c>
      <c r="E8" s="69">
        <f t="array" ref="E8:E8">MIN(IF(Catálogo!$C$2:$C$2148=A8,Catálogo!$E$2:$E$2148))</f>
        <v/>
      </c>
      <c r="F8" s="69">
        <f t="array" ref="F8:F8">MAX(IF(Catálogo!$C$2:$C$2148=A8,Catálogo!$E$2:$E$2148))</f>
        <v/>
      </c>
    </row>
    <row r="9" ht="15" customHeight="1" s="19">
      <c r="A9" s="68" t="inlineStr">
        <is>
          <t>ERP y CRM</t>
        </is>
      </c>
      <c r="B9" s="68">
        <f>COUNTIF(Catálogo!$C$2:$C$2148,A9)</f>
        <v/>
      </c>
      <c r="C9" s="69">
        <f>AVERAGEIF(Catálogo!$C$2:$C$2148,A9,Catálogo!$E$2:$E$2148)</f>
        <v/>
      </c>
      <c r="D9" s="70">
        <f>AVERAGEIF(Catálogo!$C$2:$C$2148,A9,Catálogo!$F$2:$F$2148)</f>
        <v/>
      </c>
      <c r="E9" s="69">
        <f t="array" ref="E9:E9">MIN(IF(Catálogo!$C$2:$C$2148=A9,Catálogo!$E$2:$E$2148))</f>
        <v/>
      </c>
      <c r="F9" s="69">
        <f t="array" ref="F9:F9">MAX(IF(Catálogo!$C$2:$C$2148=A9,Catálogo!$E$2:$E$2148))</f>
        <v/>
      </c>
    </row>
    <row r="10" ht="15" customHeight="1" s="19">
      <c r="A10" s="68" t="inlineStr">
        <is>
          <t>Formación y Capacitación</t>
        </is>
      </c>
      <c r="B10" s="68">
        <f>COUNTIF(Catálogo!$C$2:$C$2148,A10)</f>
        <v/>
      </c>
      <c r="C10" s="69">
        <f>AVERAGEIF(Catálogo!$C$2:$C$2148,A10,Catálogo!$E$2:$E$2148)</f>
        <v/>
      </c>
      <c r="D10" s="70">
        <f>AVERAGEIF(Catálogo!$C$2:$C$2148,A10,Catálogo!$F$2:$F$2148)</f>
        <v/>
      </c>
      <c r="E10" s="69">
        <f t="array" ref="E10:E10">MIN(IF(Catálogo!$C$2:$C$2148=A10,Catálogo!$E$2:$E$2148))</f>
        <v/>
      </c>
      <c r="F10" s="69">
        <f t="array" ref="F10:F10">MAX(IF(Catálogo!$C$2:$C$2148=A10,Catálogo!$E$2:$E$2148))</f>
        <v/>
      </c>
    </row>
    <row r="11" ht="15" customHeight="1" s="19">
      <c r="A11" s="68" t="inlineStr">
        <is>
          <t>Marketing Digital</t>
        </is>
      </c>
      <c r="B11" s="68">
        <f>COUNTIF(Catálogo!$C$2:$C$2148,A11)</f>
        <v/>
      </c>
      <c r="C11" s="69">
        <f>AVERAGEIF(Catálogo!$C$2:$C$2148,A11,Catálogo!$E$2:$E$2148)</f>
        <v/>
      </c>
      <c r="D11" s="70">
        <f>AVERAGEIF(Catálogo!$C$2:$C$2148,A11,Catálogo!$F$2:$F$2148)</f>
        <v/>
      </c>
      <c r="E11" s="69">
        <f t="array" ref="E11:E11">MIN(IF(Catálogo!$C$2:$C$2148=A11,Catálogo!$E$2:$E$2148))</f>
        <v/>
      </c>
      <c r="F11" s="69">
        <f t="array" ref="F11:F11">MAX(IF(Catálogo!$C$2:$C$2148=A11,Catálogo!$E$2:$E$2148))</f>
        <v/>
      </c>
    </row>
    <row r="12" ht="15" customHeight="1" s="19">
      <c r="A12" s="68" t="inlineStr">
        <is>
          <t>Plataformas de Comunicación</t>
        </is>
      </c>
      <c r="B12" s="68">
        <f>COUNTIF(Catálogo!$C$2:$C$2148,A12)</f>
        <v/>
      </c>
      <c r="C12" s="69">
        <f>AVERAGEIF(Catálogo!$C$2:$C$2148,A12,Catálogo!$E$2:$E$2148)</f>
        <v/>
      </c>
      <c r="D12" s="70">
        <f>AVERAGEIF(Catálogo!$C$2:$C$2148,A12,Catálogo!$F$2:$F$2148)</f>
        <v/>
      </c>
      <c r="E12" s="69">
        <f t="array" ref="E12:E12">MIN(IF(Catálogo!$C$2:$C$2148=A12,Catálogo!$E$2:$E$2148))</f>
        <v/>
      </c>
      <c r="F12" s="69">
        <f t="array" ref="F12:F12">MAX(IF(Catálogo!$C$2:$C$2148=A12,Catálogo!$E$2:$E$2148))</f>
        <v/>
      </c>
    </row>
    <row r="13" ht="15" customHeight="1" s="19">
      <c r="A13" s="68" t="inlineStr">
        <is>
          <t>Servicios de Hosting</t>
        </is>
      </c>
      <c r="B13" s="68">
        <f>COUNTIF(Catálogo!$C$2:$C$2148,A13)</f>
        <v/>
      </c>
      <c r="C13" s="69">
        <f>AVERAGEIF(Catálogo!$C$2:$C$2148,A13,Catálogo!$E$2:$E$2148)</f>
        <v/>
      </c>
      <c r="D13" s="70">
        <f>AVERAGEIF(Catálogo!$C$2:$C$2148,A13,Catálogo!$F$2:$F$2148)</f>
        <v/>
      </c>
      <c r="E13" s="69">
        <f t="array" ref="E13:E13">MIN(IF(Catálogo!$C$2:$C$2148=A13,Catálogo!$E$2:$E$2148))</f>
        <v/>
      </c>
      <c r="F13" s="69">
        <f t="array" ref="F13:F13">MAX(IF(Catálogo!$C$2:$C$2148=A13,Catálogo!$E$2:$E$2148))</f>
        <v/>
      </c>
    </row>
    <row r="14" ht="15" customHeight="1" s="19">
      <c r="A14" s="68" t="inlineStr">
        <is>
          <t>Soluciones por Industria</t>
        </is>
      </c>
      <c r="B14" s="68">
        <f>COUNTIF(Catálogo!$C$2:$C$2148,A14)</f>
        <v/>
      </c>
      <c r="C14" s="69">
        <f>AVERAGEIF(Catálogo!$C$2:$C$2148,A14,Catálogo!$E$2:$E$2148)</f>
        <v/>
      </c>
      <c r="D14" s="70">
        <f>AVERAGEIF(Catálogo!$C$2:$C$2148,A14,Catálogo!$F$2:$F$2148)</f>
        <v/>
      </c>
      <c r="E14" s="69">
        <f t="array" ref="E14:E14">MIN(IF(Catálogo!$C$2:$C$2148=A14,Catálogo!$E$2:$E$2148))</f>
        <v/>
      </c>
      <c r="F14" s="69">
        <f t="array" ref="F14:F14">MAX(IF(Catálogo!$C$2:$C$2148=A14,Catálogo!$E$2:$E$2148))</f>
        <v/>
      </c>
    </row>
    <row r="15" ht="15" customHeight="1" s="19">
      <c r="A15" s="20" t="inlineStr">
        <is>
          <t>TOTAL / PROMEDIO GENERAL</t>
        </is>
      </c>
      <c r="B15" s="20">
        <f>SUM(B2:B14)</f>
        <v/>
      </c>
      <c r="C15" s="71">
        <f>AVERAGE(Catálogo!$E$2:$E$2148)</f>
        <v/>
      </c>
      <c r="D15" s="72">
        <f>AVERAGE(Catálogo!$F$2:$F$2148)</f>
        <v/>
      </c>
      <c r="E15" s="71">
        <f>MIN(Catálogo!$E$2:$E$2148)</f>
        <v/>
      </c>
      <c r="F15" s="71">
        <f>MAX(Catálogo!$E$2:$E$2148)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2026-07-10T05:54:39Z</dcterms:created>
  <dcterms:modified xsi:type="dcterms:W3CDTF">2026-07-10T06:31:57Z</dcterms:modified>
  <cp:revision>0</cp:revision>
</cp:coreProperties>
</file>